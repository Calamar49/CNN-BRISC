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bravo-consultorge\Google Drive\Proyectos\Udemy\Cursos Creados\SCRUM práctico en proyectos de desarrollo de software\Resources\Plantillas de Gestión de Proyecto\03. EJECUCION\"/>
    </mc:Choice>
  </mc:AlternateContent>
  <bookViews>
    <workbookView xWindow="-180" yWindow="255" windowWidth="15180" windowHeight="8355" tabRatio="522"/>
  </bookViews>
  <sheets>
    <sheet name="Sprint 1" sheetId="25" r:id="rId1"/>
    <sheet name="Sprint 2" sheetId="28" r:id="rId2"/>
    <sheet name="Plantilla Sprint" sheetId="27" r:id="rId3"/>
  </sheet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 localSheetId="2">'Plantilla Sprint'!$F$18</definedName>
    <definedName name="DoneDays" localSheetId="0">'Sprint 1'!$F$18</definedName>
    <definedName name="DoneDays" localSheetId="1">'Sprint 2'!$F$18</definedName>
    <definedName name="DoneDays">#REF!</definedName>
    <definedName name="ImplementationDays" localSheetId="2">'Plantilla Sprint'!$D$16</definedName>
    <definedName name="ImplementationDays" localSheetId="0">'Sprint 1'!$D$16</definedName>
    <definedName name="ImplementationDays" localSheetId="1">'Sprint 2'!$D$16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#REF!</definedName>
    <definedName name="RealizedSpeed">OFFSET(#REF!,1,0,#REF!,1)</definedName>
    <definedName name="RealValues" localSheetId="2">OFFSET('Plantilla Sprint'!$H$17,0,0,1,'Plantilla Sprint'!DoneDays)</definedName>
    <definedName name="RealValues" localSheetId="0">OFFSET('Sprint 1'!$H$17,0,0,1,'Sprint 1'!DoneDays)</definedName>
    <definedName name="RealValues" localSheetId="1">OFFSET('Sprint 2'!$H$17,0,0,1,'Sprint 2'!DoneDays)</definedName>
    <definedName name="Sprint">#REF!</definedName>
    <definedName name="SprintCount">#REF!</definedName>
    <definedName name="SprintsInTrend">#REF!</definedName>
    <definedName name="SprintTasks" localSheetId="2">'Plantilla Sprint'!$C$21:$AF$70</definedName>
    <definedName name="SprintTasks" localSheetId="0">'Sprint 1'!$C$21:$AF$70</definedName>
    <definedName name="SprintTasks" localSheetId="1">'Sprint 2'!$C$21:$AF$70</definedName>
    <definedName name="SprintTasks">#REF!</definedName>
    <definedName name="Status">#REF!</definedName>
    <definedName name="StoryName">#REF!</definedName>
    <definedName name="TaskRows" localSheetId="2">'Plantilla Sprint'!$D$18</definedName>
    <definedName name="TaskRows" localSheetId="0">'Sprint 1'!$D$18</definedName>
    <definedName name="TaskRows" localSheetId="1">'Sprint 2'!$D$18</definedName>
    <definedName name="TaskRows">#REF!</definedName>
    <definedName name="TaskStatus" localSheetId="2">'Plantilla Sprint'!$F$21:$F$65</definedName>
    <definedName name="TaskStatus" localSheetId="0">'Sprint 1'!$F$21:$F$65</definedName>
    <definedName name="TaskStatus" localSheetId="1">'Sprint 2'!$F$21:$F$65</definedName>
    <definedName name="TaskStatus">#REF!</definedName>
    <definedName name="TaskStoryID" localSheetId="2">'Plantilla Sprint'!$D$21:$D$60</definedName>
    <definedName name="TaskStoryID" localSheetId="0">'Sprint 1'!$D$21:$D$60</definedName>
    <definedName name="TaskStoryID" localSheetId="1">'Sprint 2'!$D$21:$D$60</definedName>
    <definedName name="TaskStoryID">#REF!</definedName>
    <definedName name="TotalEffort" localSheetId="2">'Plantilla Sprint'!$G$17</definedName>
    <definedName name="TotalEffort" localSheetId="0">'Sprint 1'!$G$17</definedName>
    <definedName name="TotalEffort" localSheetId="1">'Sprint 2'!$G$17</definedName>
    <definedName name="TotalEffort">#REF!</definedName>
    <definedName name="TrendDays" localSheetId="2">'Plantilla Sprint'!$F$20</definedName>
    <definedName name="TrendDays" localSheetId="0">'Sprint 1'!$F$20</definedName>
    <definedName name="TrendDays" localSheetId="1">'Sprint 2'!$F$20</definedName>
    <definedName name="TrendDays">#REF!</definedName>
    <definedName name="TrendOffset">#REF!</definedName>
    <definedName name="TrendSprintCount">#REF!</definedName>
  </definedNames>
  <calcPr calcId="152511" fullCalcOnLoad="1"/>
</workbook>
</file>

<file path=xl/calcChain.xml><?xml version="1.0" encoding="utf-8"?>
<calcChain xmlns="http://schemas.openxmlformats.org/spreadsheetml/2006/main">
  <c r="F71" i="28" l="1"/>
  <c r="H66" i="28"/>
  <c r="H65" i="28"/>
  <c r="H64" i="28"/>
  <c r="H63" i="28"/>
  <c r="F63" i="28"/>
  <c r="H62" i="28"/>
  <c r="F62" i="28"/>
  <c r="H61" i="28"/>
  <c r="F61" i="28"/>
  <c r="H60" i="28"/>
  <c r="F60" i="28"/>
  <c r="H59" i="28"/>
  <c r="F59" i="28"/>
  <c r="H58" i="28"/>
  <c r="F58" i="28"/>
  <c r="H57" i="28"/>
  <c r="F57" i="28"/>
  <c r="H56" i="28"/>
  <c r="F56" i="28"/>
  <c r="H55" i="28"/>
  <c r="F55" i="28"/>
  <c r="H54" i="28"/>
  <c r="F54" i="28"/>
  <c r="H53" i="28"/>
  <c r="F53" i="28"/>
  <c r="H52" i="28"/>
  <c r="F52" i="28"/>
  <c r="H51" i="28"/>
  <c r="F51" i="28"/>
  <c r="H50" i="28"/>
  <c r="F50" i="28"/>
  <c r="H49" i="28"/>
  <c r="F49" i="28"/>
  <c r="H48" i="28"/>
  <c r="F48" i="28"/>
  <c r="H47" i="28"/>
  <c r="F47" i="28"/>
  <c r="H46" i="28"/>
  <c r="F46" i="28"/>
  <c r="H45" i="28"/>
  <c r="F45" i="28"/>
  <c r="H44" i="28"/>
  <c r="F44" i="28"/>
  <c r="H43" i="28"/>
  <c r="F43" i="28"/>
  <c r="H42" i="28"/>
  <c r="F42" i="28"/>
  <c r="H41" i="28"/>
  <c r="F41" i="28"/>
  <c r="H40" i="28"/>
  <c r="F40" i="28"/>
  <c r="H39" i="28"/>
  <c r="F39" i="28"/>
  <c r="H38" i="28"/>
  <c r="F38" i="28"/>
  <c r="H37" i="28"/>
  <c r="F37" i="28"/>
  <c r="H36" i="28"/>
  <c r="F36" i="28"/>
  <c r="H35" i="28"/>
  <c r="F35" i="28"/>
  <c r="H34" i="28"/>
  <c r="F34" i="28"/>
  <c r="H33" i="28"/>
  <c r="F33" i="28"/>
  <c r="H32" i="28"/>
  <c r="F32" i="28"/>
  <c r="H31" i="28"/>
  <c r="F31" i="28"/>
  <c r="H30" i="28"/>
  <c r="F30" i="28"/>
  <c r="H29" i="28"/>
  <c r="F29" i="28"/>
  <c r="H28" i="28"/>
  <c r="F28" i="28"/>
  <c r="H27" i="28"/>
  <c r="F27" i="28"/>
  <c r="H26" i="28"/>
  <c r="F26" i="28"/>
  <c r="H25" i="28"/>
  <c r="H24" i="28"/>
  <c r="H23" i="28"/>
  <c r="H22" i="28"/>
  <c r="H17" i="28"/>
  <c r="I21" i="28"/>
  <c r="I63" i="28"/>
  <c r="D18" i="28"/>
  <c r="X17" i="28"/>
  <c r="H22" i="25"/>
  <c r="H23" i="25"/>
  <c r="H24" i="25"/>
  <c r="H25" i="25"/>
  <c r="F71" i="27"/>
  <c r="H66" i="27"/>
  <c r="H65" i="27"/>
  <c r="H64" i="27"/>
  <c r="H63" i="27"/>
  <c r="F63" i="27"/>
  <c r="H62" i="27"/>
  <c r="F62" i="27"/>
  <c r="H61" i="27"/>
  <c r="F61" i="27"/>
  <c r="H60" i="27"/>
  <c r="F60" i="27"/>
  <c r="H59" i="27"/>
  <c r="F59" i="27"/>
  <c r="H58" i="27"/>
  <c r="F58" i="27"/>
  <c r="H57" i="27"/>
  <c r="F57" i="27"/>
  <c r="H56" i="27"/>
  <c r="F56" i="27"/>
  <c r="H55" i="27"/>
  <c r="F55" i="27"/>
  <c r="H54" i="27"/>
  <c r="F54" i="27"/>
  <c r="H53" i="27"/>
  <c r="F53" i="27"/>
  <c r="H52" i="27"/>
  <c r="F52" i="27"/>
  <c r="H51" i="27"/>
  <c r="F51" i="27"/>
  <c r="H50" i="27"/>
  <c r="F50" i="27"/>
  <c r="H49" i="27"/>
  <c r="F49" i="27"/>
  <c r="H48" i="27"/>
  <c r="F48" i="27"/>
  <c r="H47" i="27"/>
  <c r="F47" i="27"/>
  <c r="H46" i="27"/>
  <c r="F46" i="27"/>
  <c r="H45" i="27"/>
  <c r="F45" i="27"/>
  <c r="H44" i="27"/>
  <c r="F44" i="27"/>
  <c r="H43" i="27"/>
  <c r="F43" i="27"/>
  <c r="H42" i="27"/>
  <c r="F42" i="27"/>
  <c r="H41" i="27"/>
  <c r="F41" i="27"/>
  <c r="H40" i="27"/>
  <c r="F40" i="27"/>
  <c r="H39" i="27"/>
  <c r="F39" i="27"/>
  <c r="H38" i="27"/>
  <c r="F38" i="27"/>
  <c r="H37" i="27"/>
  <c r="F37" i="27"/>
  <c r="H36" i="27"/>
  <c r="F36" i="27"/>
  <c r="H35" i="27"/>
  <c r="F35" i="27"/>
  <c r="H34" i="27"/>
  <c r="F34" i="27"/>
  <c r="H33" i="27"/>
  <c r="F33" i="27"/>
  <c r="H32" i="27"/>
  <c r="F32" i="27"/>
  <c r="H31" i="27"/>
  <c r="F31" i="27"/>
  <c r="H30" i="27"/>
  <c r="F30" i="27"/>
  <c r="H29" i="27"/>
  <c r="F29" i="27"/>
  <c r="H28" i="27"/>
  <c r="F28" i="27"/>
  <c r="H27" i="27"/>
  <c r="F27" i="27"/>
  <c r="H26" i="27"/>
  <c r="F26" i="27"/>
  <c r="H25" i="27"/>
  <c r="F25" i="27"/>
  <c r="H24" i="27"/>
  <c r="F24" i="27"/>
  <c r="H23" i="27"/>
  <c r="F23" i="27"/>
  <c r="H22" i="27"/>
  <c r="F22" i="27"/>
  <c r="I21" i="27"/>
  <c r="I62" i="27"/>
  <c r="D18" i="27"/>
  <c r="AB17" i="27"/>
  <c r="AD17" i="27"/>
  <c r="AC17" i="27"/>
  <c r="Z17" i="27"/>
  <c r="Y17" i="27"/>
  <c r="W17" i="27"/>
  <c r="V17" i="27"/>
  <c r="U17" i="27"/>
  <c r="S17" i="27"/>
  <c r="R17" i="27"/>
  <c r="Q17" i="27"/>
  <c r="O17" i="27"/>
  <c r="N17" i="27"/>
  <c r="M17" i="27"/>
  <c r="K17" i="27"/>
  <c r="J17" i="27"/>
  <c r="I17" i="27"/>
  <c r="G17" i="27"/>
  <c r="H18" i="27" s="1"/>
  <c r="F71" i="25"/>
  <c r="H66" i="25"/>
  <c r="H65" i="25"/>
  <c r="H64" i="25"/>
  <c r="H63" i="25"/>
  <c r="F63" i="25"/>
  <c r="H62" i="25"/>
  <c r="F62" i="25"/>
  <c r="H61" i="25"/>
  <c r="F61" i="25"/>
  <c r="H60" i="25"/>
  <c r="F60" i="25"/>
  <c r="H59" i="25"/>
  <c r="F59" i="25"/>
  <c r="H58" i="25"/>
  <c r="F58" i="25"/>
  <c r="H57" i="25"/>
  <c r="F57" i="25"/>
  <c r="H56" i="25"/>
  <c r="F56" i="25"/>
  <c r="H55" i="25"/>
  <c r="F55" i="25"/>
  <c r="H54" i="25"/>
  <c r="F54" i="25"/>
  <c r="H53" i="25"/>
  <c r="F53" i="25"/>
  <c r="H52" i="25"/>
  <c r="F52" i="25"/>
  <c r="H51" i="25"/>
  <c r="F51" i="25"/>
  <c r="H50" i="25"/>
  <c r="F50" i="25"/>
  <c r="H49" i="25"/>
  <c r="F49" i="25"/>
  <c r="H48" i="25"/>
  <c r="F48" i="25"/>
  <c r="H47" i="25"/>
  <c r="F47" i="25"/>
  <c r="H46" i="25"/>
  <c r="F46" i="25"/>
  <c r="H45" i="25"/>
  <c r="F45" i="25"/>
  <c r="H44" i="25"/>
  <c r="F44" i="25"/>
  <c r="H43" i="25"/>
  <c r="F43" i="25"/>
  <c r="H42" i="25"/>
  <c r="F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F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I21" i="25"/>
  <c r="I62" i="25"/>
  <c r="D18" i="25"/>
  <c r="M17" i="25"/>
  <c r="AB17" i="25"/>
  <c r="I63" i="25"/>
  <c r="J21" i="25"/>
  <c r="P17" i="28"/>
  <c r="I62" i="28"/>
  <c r="J21" i="28"/>
  <c r="J62" i="28"/>
  <c r="AA17" i="27"/>
  <c r="L17" i="27"/>
  <c r="P17" i="27"/>
  <c r="T17" i="27"/>
  <c r="X17" i="27"/>
  <c r="AD17" i="28"/>
  <c r="Z17" i="28"/>
  <c r="V17" i="28"/>
  <c r="R17" i="28"/>
  <c r="N17" i="28"/>
  <c r="J17" i="28"/>
  <c r="AA17" i="28"/>
  <c r="W17" i="28"/>
  <c r="S17" i="28"/>
  <c r="O17" i="28"/>
  <c r="K17" i="28"/>
  <c r="G17" i="28"/>
  <c r="M17" i="28"/>
  <c r="U17" i="28"/>
  <c r="AC17" i="28"/>
  <c r="I17" i="28"/>
  <c r="Q17" i="28"/>
  <c r="Y17" i="28"/>
  <c r="L17" i="28"/>
  <c r="T17" i="28"/>
  <c r="AB17" i="28"/>
  <c r="K21" i="28"/>
  <c r="O17" i="25"/>
  <c r="G17" i="25"/>
  <c r="I18" i="25" s="1"/>
  <c r="S17" i="25"/>
  <c r="K17" i="25"/>
  <c r="W17" i="25"/>
  <c r="AA17" i="25"/>
  <c r="I63" i="27"/>
  <c r="Q17" i="25"/>
  <c r="U17" i="25"/>
  <c r="Y17" i="25"/>
  <c r="AC17" i="25"/>
  <c r="J17" i="25"/>
  <c r="N17" i="25"/>
  <c r="R17" i="25"/>
  <c r="V17" i="25"/>
  <c r="Z17" i="25"/>
  <c r="AD17" i="25"/>
  <c r="H17" i="25"/>
  <c r="L17" i="25"/>
  <c r="P17" i="25"/>
  <c r="T17" i="25"/>
  <c r="X17" i="25"/>
  <c r="L21" i="28"/>
  <c r="H18" i="28"/>
  <c r="I18" i="28"/>
  <c r="I18" i="27"/>
  <c r="J21" i="27"/>
  <c r="H17" i="27"/>
  <c r="J18" i="28"/>
  <c r="J63" i="28"/>
  <c r="L62" i="28"/>
  <c r="L63" i="28"/>
  <c r="M21" i="28"/>
  <c r="L18" i="28"/>
  <c r="K18" i="28"/>
  <c r="K62" i="28"/>
  <c r="K63" i="28"/>
  <c r="K21" i="25"/>
  <c r="J63" i="25"/>
  <c r="J18" i="25"/>
  <c r="J62" i="25"/>
  <c r="I17" i="25"/>
  <c r="J63" i="27"/>
  <c r="K21" i="27"/>
  <c r="J62" i="27"/>
  <c r="J18" i="27"/>
  <c r="L21" i="25"/>
  <c r="K18" i="25"/>
  <c r="K62" i="25"/>
  <c r="K63" i="25"/>
  <c r="N21" i="28"/>
  <c r="M63" i="28"/>
  <c r="M62" i="28"/>
  <c r="M18" i="28"/>
  <c r="K62" i="27"/>
  <c r="K63" i="27"/>
  <c r="L21" i="27"/>
  <c r="K18" i="27"/>
  <c r="N18" i="28"/>
  <c r="N62" i="28"/>
  <c r="N63" i="28"/>
  <c r="O21" i="28"/>
  <c r="L62" i="25"/>
  <c r="M21" i="25"/>
  <c r="L18" i="25"/>
  <c r="L63" i="25"/>
  <c r="L18" i="27"/>
  <c r="M21" i="27"/>
  <c r="L62" i="27"/>
  <c r="L63" i="27"/>
  <c r="O63" i="28"/>
  <c r="P21" i="28"/>
  <c r="O18" i="28"/>
  <c r="O62" i="28"/>
  <c r="M63" i="25"/>
  <c r="M62" i="25"/>
  <c r="N21" i="25"/>
  <c r="M18" i="25"/>
  <c r="M63" i="27"/>
  <c r="M18" i="27"/>
  <c r="M62" i="27"/>
  <c r="N21" i="27"/>
  <c r="N62" i="25"/>
  <c r="O21" i="25"/>
  <c r="N63" i="25"/>
  <c r="N18" i="25"/>
  <c r="P62" i="28"/>
  <c r="P63" i="28"/>
  <c r="Q21" i="28"/>
  <c r="P18" i="28"/>
  <c r="N18" i="27"/>
  <c r="N63" i="27"/>
  <c r="O21" i="27"/>
  <c r="N62" i="27"/>
  <c r="R21" i="28"/>
  <c r="Q62" i="28"/>
  <c r="Q63" i="28"/>
  <c r="Q18" i="28"/>
  <c r="O63" i="25"/>
  <c r="P21" i="25"/>
  <c r="O62" i="25"/>
  <c r="O18" i="25"/>
  <c r="O62" i="27"/>
  <c r="O63" i="27"/>
  <c r="P21" i="27"/>
  <c r="O18" i="27"/>
  <c r="P63" i="25"/>
  <c r="P62" i="25"/>
  <c r="Q21" i="25"/>
  <c r="P18" i="25"/>
  <c r="R63" i="28"/>
  <c r="R62" i="28"/>
  <c r="S21" i="28"/>
  <c r="R18" i="28"/>
  <c r="P18" i="27"/>
  <c r="P63" i="27"/>
  <c r="P62" i="27"/>
  <c r="Q21" i="27"/>
  <c r="S63" i="28"/>
  <c r="T21" i="28"/>
  <c r="S18" i="28"/>
  <c r="S62" i="28"/>
  <c r="Q62" i="25"/>
  <c r="R21" i="25"/>
  <c r="Q63" i="25"/>
  <c r="Q18" i="25"/>
  <c r="Q18" i="27"/>
  <c r="R21" i="27"/>
  <c r="Q62" i="27"/>
  <c r="Q63" i="27"/>
  <c r="S21" i="25"/>
  <c r="R18" i="25"/>
  <c r="R63" i="25"/>
  <c r="R62" i="25"/>
  <c r="T62" i="28"/>
  <c r="T63" i="28"/>
  <c r="U21" i="28"/>
  <c r="T18" i="28"/>
  <c r="R18" i="27"/>
  <c r="R62" i="27"/>
  <c r="R63" i="27"/>
  <c r="S21" i="27"/>
  <c r="U18" i="28"/>
  <c r="U62" i="28"/>
  <c r="U63" i="28"/>
  <c r="V21" i="28"/>
  <c r="S63" i="25"/>
  <c r="S62" i="25"/>
  <c r="T21" i="25"/>
  <c r="S18" i="25"/>
  <c r="S62" i="27"/>
  <c r="S63" i="27"/>
  <c r="T21" i="27"/>
  <c r="S18" i="27"/>
  <c r="T62" i="25"/>
  <c r="U21" i="25"/>
  <c r="T63" i="25"/>
  <c r="T18" i="25"/>
  <c r="V18" i="28"/>
  <c r="V62" i="28"/>
  <c r="V63" i="28"/>
  <c r="W21" i="28"/>
  <c r="T18" i="27"/>
  <c r="T63" i="27"/>
  <c r="U21" i="27"/>
  <c r="T62" i="27"/>
  <c r="W63" i="28"/>
  <c r="X21" i="28"/>
  <c r="W62" i="28"/>
  <c r="W18" i="28"/>
  <c r="U62" i="25"/>
  <c r="V21" i="25"/>
  <c r="U18" i="25"/>
  <c r="U63" i="25"/>
  <c r="U62" i="27"/>
  <c r="U63" i="27"/>
  <c r="U18" i="27"/>
  <c r="V21" i="27"/>
  <c r="V18" i="25"/>
  <c r="V63" i="25"/>
  <c r="W21" i="25"/>
  <c r="V62" i="25"/>
  <c r="X62" i="28"/>
  <c r="X63" i="28"/>
  <c r="X18" i="28"/>
  <c r="Y21" i="28"/>
  <c r="V18" i="27"/>
  <c r="V63" i="27"/>
  <c r="V62" i="27"/>
  <c r="W21" i="27"/>
  <c r="Z21" i="28"/>
  <c r="Y62" i="28"/>
  <c r="Y18" i="28"/>
  <c r="Y63" i="28"/>
  <c r="X21" i="25"/>
  <c r="W62" i="25"/>
  <c r="W18" i="25"/>
  <c r="W63" i="25"/>
  <c r="W62" i="27"/>
  <c r="W18" i="27"/>
  <c r="X21" i="27"/>
  <c r="W63" i="27"/>
  <c r="Z18" i="28"/>
  <c r="Z62" i="28"/>
  <c r="Z63" i="28"/>
  <c r="AA21" i="28"/>
  <c r="X62" i="25"/>
  <c r="Y21" i="25"/>
  <c r="X63" i="25"/>
  <c r="X18" i="25"/>
  <c r="X18" i="27"/>
  <c r="X63" i="27"/>
  <c r="X62" i="27"/>
  <c r="Y21" i="27"/>
  <c r="Y18" i="25"/>
  <c r="Z21" i="25"/>
  <c r="Y62" i="25"/>
  <c r="Y63" i="25"/>
  <c r="AA63" i="28"/>
  <c r="AB21" i="28"/>
  <c r="AA62" i="28"/>
  <c r="AA18" i="28"/>
  <c r="Y18" i="27"/>
  <c r="Y62" i="27"/>
  <c r="Z21" i="27"/>
  <c r="Y63" i="27"/>
  <c r="AB62" i="28"/>
  <c r="AB63" i="28"/>
  <c r="AB18" i="28"/>
  <c r="AC21" i="28"/>
  <c r="Z62" i="25"/>
  <c r="Z18" i="25"/>
  <c r="Z63" i="25"/>
  <c r="AA21" i="25"/>
  <c r="Z63" i="27"/>
  <c r="Z62" i="27"/>
  <c r="Z18" i="27"/>
  <c r="AA21" i="27"/>
  <c r="AA63" i="25"/>
  <c r="AA62" i="25"/>
  <c r="AB21" i="25"/>
  <c r="AA18" i="25"/>
  <c r="AD21" i="28"/>
  <c r="AC62" i="28"/>
  <c r="AC18" i="28"/>
  <c r="AC63" i="28"/>
  <c r="AA62" i="27"/>
  <c r="AB21" i="27"/>
  <c r="AA63" i="27"/>
  <c r="AA18" i="27"/>
  <c r="AD18" i="28"/>
  <c r="AD62" i="28"/>
  <c r="AE21" i="28"/>
  <c r="AD63" i="28"/>
  <c r="AB62" i="25"/>
  <c r="AC21" i="25"/>
  <c r="AB63" i="25"/>
  <c r="AB18" i="25"/>
  <c r="AB63" i="27"/>
  <c r="AC21" i="27"/>
  <c r="AB62" i="27"/>
  <c r="AB18" i="27"/>
  <c r="AC62" i="25"/>
  <c r="AD21" i="25"/>
  <c r="AC63" i="25"/>
  <c r="AC18" i="25"/>
  <c r="AE55" i="28"/>
  <c r="AE65" i="28"/>
  <c r="AE61" i="28"/>
  <c r="AE57" i="28"/>
  <c r="AE49" i="28"/>
  <c r="AE39" i="28"/>
  <c r="AE22" i="28"/>
  <c r="AE45" i="28"/>
  <c r="AE29" i="28"/>
  <c r="AE38" i="28"/>
  <c r="AE48" i="28"/>
  <c r="AE24" i="28"/>
  <c r="AE53" i="28"/>
  <c r="AE62" i="28"/>
  <c r="AE60" i="28"/>
  <c r="AE56" i="28"/>
  <c r="AE64" i="28"/>
  <c r="AE35" i="28"/>
  <c r="AE44" i="28"/>
  <c r="AE41" i="28"/>
  <c r="AE25" i="28"/>
  <c r="AE34" i="28"/>
  <c r="AE40" i="28"/>
  <c r="AE18" i="28"/>
  <c r="AE63" i="28"/>
  <c r="AE52" i="28"/>
  <c r="AE27" i="28"/>
  <c r="AE33" i="28"/>
  <c r="AE26" i="28"/>
  <c r="AE50" i="28"/>
  <c r="AE58" i="28"/>
  <c r="AE43" i="28"/>
  <c r="AE28" i="28"/>
  <c r="AE42" i="28"/>
  <c r="AF21" i="28"/>
  <c r="AE23" i="28"/>
  <c r="AE54" i="28"/>
  <c r="AE31" i="28"/>
  <c r="AE37" i="28"/>
  <c r="AE30" i="28"/>
  <c r="AE59" i="28"/>
  <c r="AE36" i="28"/>
  <c r="AE51" i="28"/>
  <c r="AE47" i="28"/>
  <c r="AE46" i="28"/>
  <c r="AE32" i="28"/>
  <c r="AC18" i="27"/>
  <c r="AC62" i="27"/>
  <c r="AC63" i="27"/>
  <c r="AD21" i="27"/>
  <c r="AF59" i="28"/>
  <c r="AF55" i="28"/>
  <c r="AF51" i="28"/>
  <c r="AF47" i="28"/>
  <c r="AF43" i="28"/>
  <c r="AF39" i="28"/>
  <c r="AF35" i="28"/>
  <c r="AF31" i="28"/>
  <c r="AF27" i="28"/>
  <c r="AF24" i="28"/>
  <c r="AF62" i="28"/>
  <c r="AF61" i="28"/>
  <c r="AF57" i="28"/>
  <c r="AF53" i="28"/>
  <c r="AF49" i="28"/>
  <c r="AF45" i="28"/>
  <c r="AF41" i="28"/>
  <c r="AF37" i="28"/>
  <c r="AF33" i="28"/>
  <c r="AF29" i="28"/>
  <c r="AF25" i="28"/>
  <c r="AF23" i="28"/>
  <c r="AF60" i="28"/>
  <c r="AF56" i="28"/>
  <c r="AF52" i="28"/>
  <c r="AF48" i="28"/>
  <c r="AF44" i="28"/>
  <c r="AF40" i="28"/>
  <c r="AF36" i="28"/>
  <c r="AF32" i="28"/>
  <c r="AF28" i="28"/>
  <c r="AF64" i="28"/>
  <c r="AF65" i="28"/>
  <c r="AF63" i="28"/>
  <c r="AF46" i="28"/>
  <c r="AF30" i="28"/>
  <c r="AF34" i="28"/>
  <c r="AF58" i="28"/>
  <c r="AF42" i="28"/>
  <c r="AF26" i="28"/>
  <c r="AF22" i="28"/>
  <c r="AF17" i="28"/>
  <c r="AF54" i="28"/>
  <c r="AF38" i="28"/>
  <c r="AF18" i="28"/>
  <c r="AF50" i="28"/>
  <c r="AE21" i="25"/>
  <c r="AD18" i="25"/>
  <c r="AD62" i="25"/>
  <c r="AD63" i="25"/>
  <c r="AE17" i="28"/>
  <c r="AE21" i="27"/>
  <c r="AD63" i="27"/>
  <c r="AD18" i="27"/>
  <c r="AD62" i="27"/>
  <c r="AE27" i="25"/>
  <c r="AE57" i="25"/>
  <c r="AE36" i="25"/>
  <c r="AE48" i="25"/>
  <c r="AE44" i="25"/>
  <c r="AE34" i="25"/>
  <c r="AE29" i="25"/>
  <c r="AE39" i="25"/>
  <c r="AE53" i="25"/>
  <c r="AE35" i="25"/>
  <c r="AE49" i="25"/>
  <c r="AE59" i="25"/>
  <c r="AE50" i="25"/>
  <c r="AE25" i="25"/>
  <c r="AE26" i="25"/>
  <c r="AE42" i="25"/>
  <c r="AE47" i="25"/>
  <c r="AE38" i="25"/>
  <c r="AE24" i="25"/>
  <c r="AE63" i="25"/>
  <c r="AE18" i="25"/>
  <c r="AE58" i="25"/>
  <c r="AE45" i="25"/>
  <c r="AE43" i="25"/>
  <c r="AE30" i="25"/>
  <c r="AE52" i="25"/>
  <c r="AE37" i="25"/>
  <c r="AE33" i="25"/>
  <c r="AE31" i="25"/>
  <c r="AE61" i="25"/>
  <c r="AE55" i="25"/>
  <c r="AE46" i="25"/>
  <c r="AE51" i="25"/>
  <c r="AE22" i="25"/>
  <c r="AE40" i="25"/>
  <c r="AE32" i="25"/>
  <c r="AE23" i="25"/>
  <c r="AE56" i="25"/>
  <c r="AE62" i="25"/>
  <c r="AE28" i="25"/>
  <c r="AF21" i="25"/>
  <c r="AE64" i="25"/>
  <c r="AE60" i="25"/>
  <c r="AE41" i="25"/>
  <c r="AE54" i="25"/>
  <c r="AE65" i="25"/>
  <c r="AE55" i="27"/>
  <c r="AE39" i="27"/>
  <c r="AE54" i="27"/>
  <c r="AE38" i="27"/>
  <c r="AE36" i="27"/>
  <c r="AE65" i="27"/>
  <c r="AE40" i="27"/>
  <c r="AE61" i="27"/>
  <c r="AE32" i="27"/>
  <c r="AE34" i="27"/>
  <c r="AE30" i="27"/>
  <c r="AE51" i="27"/>
  <c r="AE35" i="27"/>
  <c r="AE50" i="27"/>
  <c r="AE60" i="27"/>
  <c r="AE31" i="27"/>
  <c r="AF21" i="27"/>
  <c r="AE33" i="27"/>
  <c r="AE53" i="27"/>
  <c r="AE28" i="27"/>
  <c r="AE62" i="27"/>
  <c r="AE49" i="27"/>
  <c r="AE18" i="27"/>
  <c r="AE47" i="27"/>
  <c r="AE63" i="27"/>
  <c r="AE46" i="27"/>
  <c r="AE52" i="27"/>
  <c r="AE27" i="27"/>
  <c r="AE56" i="27"/>
  <c r="AE29" i="27"/>
  <c r="AE45" i="27"/>
  <c r="AE24" i="27"/>
  <c r="AE41" i="27"/>
  <c r="AE26" i="27"/>
  <c r="AE59" i="27"/>
  <c r="AE43" i="27"/>
  <c r="AE58" i="27"/>
  <c r="AE42" i="27"/>
  <c r="AE44" i="27"/>
  <c r="AE23" i="27"/>
  <c r="AE48" i="27"/>
  <c r="AE25" i="27"/>
  <c r="AE37" i="27"/>
  <c r="AE64" i="27"/>
  <c r="AE57" i="27"/>
  <c r="AE22" i="27"/>
  <c r="AE17" i="27"/>
  <c r="AE17" i="25"/>
  <c r="AF32" i="25"/>
  <c r="AF38" i="25"/>
  <c r="AF30" i="25"/>
  <c r="AF53" i="25"/>
  <c r="AF64" i="25"/>
  <c r="AF41" i="25"/>
  <c r="AF56" i="25"/>
  <c r="AF52" i="25"/>
  <c r="AF18" i="25"/>
  <c r="AF43" i="25"/>
  <c r="AF46" i="25"/>
  <c r="AF29" i="25"/>
  <c r="AF42" i="25"/>
  <c r="AF40" i="25"/>
  <c r="AF36" i="25"/>
  <c r="AF26" i="25"/>
  <c r="AF24" i="25"/>
  <c r="AF31" i="25"/>
  <c r="AF27" i="25"/>
  <c r="AF60" i="25"/>
  <c r="AF49" i="25"/>
  <c r="AF57" i="25"/>
  <c r="AF48" i="25"/>
  <c r="AF61" i="25"/>
  <c r="AF37" i="25"/>
  <c r="AF65" i="25"/>
  <c r="AF28" i="25"/>
  <c r="AF59" i="25"/>
  <c r="AF51" i="25"/>
  <c r="AF58" i="25"/>
  <c r="AF54" i="25"/>
  <c r="AF23" i="25"/>
  <c r="AF34" i="25"/>
  <c r="AF25" i="25"/>
  <c r="AF63" i="25"/>
  <c r="AF35" i="25"/>
  <c r="AF50" i="25"/>
  <c r="AF22" i="25"/>
  <c r="AF44" i="25"/>
  <c r="AF62" i="25"/>
  <c r="AF39" i="25"/>
  <c r="AF55" i="25"/>
  <c r="AF45" i="25"/>
  <c r="AF33" i="25"/>
  <c r="AF47" i="25"/>
  <c r="AF52" i="27"/>
  <c r="AF36" i="27"/>
  <c r="AF63" i="27"/>
  <c r="AF46" i="27"/>
  <c r="AF30" i="27"/>
  <c r="AF61" i="27"/>
  <c r="AF45" i="27"/>
  <c r="AF29" i="27"/>
  <c r="AF59" i="27"/>
  <c r="AF55" i="27"/>
  <c r="AF35" i="27"/>
  <c r="AF48" i="27"/>
  <c r="AF32" i="27"/>
  <c r="AF58" i="27"/>
  <c r="AF42" i="27"/>
  <c r="AF26" i="27"/>
  <c r="AF57" i="27"/>
  <c r="AF41" i="27"/>
  <c r="AF25" i="27"/>
  <c r="AF43" i="27"/>
  <c r="AF39" i="27"/>
  <c r="AF65" i="27"/>
  <c r="AF60" i="27"/>
  <c r="AF44" i="27"/>
  <c r="AF28" i="27"/>
  <c r="AF54" i="27"/>
  <c r="AF38" i="27"/>
  <c r="AF22" i="27"/>
  <c r="AF17" i="27"/>
  <c r="AF53" i="27"/>
  <c r="AF37" i="27"/>
  <c r="AF64" i="27"/>
  <c r="AF27" i="27"/>
  <c r="AF23" i="27"/>
  <c r="AF31" i="27"/>
  <c r="AF56" i="27"/>
  <c r="AF40" i="27"/>
  <c r="AF24" i="27"/>
  <c r="AF50" i="27"/>
  <c r="AF34" i="27"/>
  <c r="AF62" i="27"/>
  <c r="AF49" i="27"/>
  <c r="AF33" i="27"/>
  <c r="AF47" i="27"/>
  <c r="AF18" i="27"/>
  <c r="AF51" i="27"/>
  <c r="AF17" i="25"/>
  <c r="H18" i="25" l="1"/>
  <c r="F18" i="27"/>
  <c r="H20" i="27" s="1"/>
  <c r="F18" i="25"/>
  <c r="F20" i="25" s="1"/>
  <c r="F18" i="28"/>
  <c r="H20" i="28" s="1"/>
  <c r="F20" i="27" l="1"/>
  <c r="U19" i="27" s="1"/>
  <c r="F20" i="28"/>
  <c r="T19" i="27"/>
  <c r="P19" i="27"/>
  <c r="L19" i="28"/>
  <c r="I19" i="28"/>
  <c r="AF19" i="28"/>
  <c r="N19" i="28"/>
  <c r="H20" i="25"/>
  <c r="T19" i="25" s="1"/>
  <c r="AB19" i="27"/>
  <c r="V19" i="28"/>
  <c r="AD19" i="28"/>
  <c r="AA19" i="28"/>
  <c r="O19" i="27"/>
  <c r="K19" i="27"/>
  <c r="Z19" i="27"/>
  <c r="W19" i="27"/>
  <c r="X19" i="27"/>
  <c r="AC19" i="27"/>
  <c r="AD19" i="25"/>
  <c r="V19" i="25"/>
  <c r="R19" i="25"/>
  <c r="AE19" i="25"/>
  <c r="Z19" i="28"/>
  <c r="O19" i="28"/>
  <c r="S19" i="27"/>
  <c r="I19" i="27"/>
  <c r="J19" i="27"/>
  <c r="U19" i="28"/>
  <c r="P19" i="28"/>
  <c r="AC19" i="28"/>
  <c r="J19" i="28"/>
  <c r="X19" i="28"/>
  <c r="K19" i="28"/>
  <c r="AE19" i="28"/>
  <c r="M19" i="28"/>
  <c r="AA19" i="27"/>
  <c r="Y19" i="27"/>
  <c r="AE19" i="27"/>
  <c r="AD19" i="27"/>
  <c r="N19" i="27"/>
  <c r="R19" i="27"/>
  <c r="M19" i="27"/>
  <c r="R19" i="28"/>
  <c r="T19" i="28"/>
  <c r="M19" i="25"/>
  <c r="AF19" i="25"/>
  <c r="W19" i="25"/>
  <c r="S19" i="25"/>
  <c r="J19" i="25"/>
  <c r="O19" i="25"/>
  <c r="AB19" i="25"/>
  <c r="H19" i="25"/>
  <c r="Q19" i="25"/>
  <c r="P19" i="25"/>
  <c r="Y19" i="25"/>
  <c r="Y19" i="28"/>
  <c r="S19" i="28"/>
  <c r="W19" i="28"/>
  <c r="H19" i="28"/>
  <c r="AB19" i="28"/>
  <c r="Q19" i="28"/>
  <c r="AF19" i="27"/>
  <c r="L19" i="27"/>
  <c r="Q19" i="27"/>
  <c r="H19" i="27"/>
  <c r="V19" i="27"/>
  <c r="N19" i="25" l="1"/>
  <c r="I19" i="25"/>
  <c r="X19" i="25"/>
  <c r="AA19" i="25"/>
  <c r="Z19" i="25"/>
  <c r="L19" i="25"/>
  <c r="U19" i="25"/>
  <c r="K19" i="25"/>
  <c r="AC19" i="25"/>
</calcChain>
</file>

<file path=xl/comments1.xml><?xml version="1.0" encoding="utf-8"?>
<comments xmlns="http://schemas.openxmlformats.org/spreadsheetml/2006/main">
  <authors>
    <author>Petri Heiramo</author>
  </authors>
  <commentList>
    <comment ref="C16" authorId="0" shapeId="0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comments2.xml><?xml version="1.0" encoding="utf-8"?>
<comments xmlns="http://schemas.openxmlformats.org/spreadsheetml/2006/main">
  <authors>
    <author>Petri Heiramo</author>
  </authors>
  <commentList>
    <comment ref="C16" authorId="0" shapeId="0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comments3.xml><?xml version="1.0" encoding="utf-8"?>
<comments xmlns="http://schemas.openxmlformats.org/spreadsheetml/2006/main">
  <authors>
    <author>Petri Heiramo</author>
  </authors>
  <commentList>
    <comment ref="C16" authorId="0" shapeId="0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sharedStrings.xml><?xml version="1.0" encoding="utf-8"?>
<sst xmlns="http://schemas.openxmlformats.org/spreadsheetml/2006/main" count="96" uniqueCount="35">
  <si>
    <t>Est.</t>
  </si>
  <si>
    <t>Task rows</t>
  </si>
  <si>
    <t>Done days</t>
  </si>
  <si>
    <t>Trend</t>
  </si>
  <si>
    <t>Trend Days</t>
  </si>
  <si>
    <t>Warning! These are necessary</t>
  </si>
  <si>
    <t>template rows</t>
  </si>
  <si>
    <t>Done</t>
  </si>
  <si>
    <t>In Progress</t>
  </si>
  <si>
    <t>To Do</t>
  </si>
  <si>
    <t>ID Tarea</t>
  </si>
  <si>
    <t>Duración del Sprint</t>
  </si>
  <si>
    <t>Tendencia calculada en los últimos</t>
  </si>
  <si>
    <t>Días</t>
  </si>
  <si>
    <t>Tarea</t>
  </si>
  <si>
    <t>ID Historia</t>
  </si>
  <si>
    <t>Responsable</t>
  </si>
  <si>
    <t>Totales</t>
  </si>
  <si>
    <t>Estado</t>
  </si>
  <si>
    <t>Esfuerzo</t>
  </si>
  <si>
    <t>Faltante en los días siguientes…</t>
  </si>
  <si>
    <t>Terminado</t>
  </si>
  <si>
    <t>En Progreso</t>
  </si>
  <si>
    <t>Por Hacer</t>
  </si>
  <si>
    <t>Tarea 1</t>
  </si>
  <si>
    <t>Tarea 2</t>
  </si>
  <si>
    <t>Tarea 3</t>
  </si>
  <si>
    <t>Tarea 4</t>
  </si>
  <si>
    <t>Luis</t>
  </si>
  <si>
    <t>Jorge</t>
  </si>
  <si>
    <t>Carolina</t>
  </si>
  <si>
    <t>Lucia</t>
  </si>
  <si>
    <t>Nombre del Proyecto:</t>
  </si>
  <si>
    <t>Dueño del Proyecto</t>
  </si>
  <si>
    <t>Gerente del Proyecto: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</si>
</sst>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Sprint &quot;#&quot; Backlog&quot;"/>
  </numFmts>
  <fonts count="5" x14ac:knownFonts="1">
    <font>
      <sz val="10"/>
      <name val="Arial"/>
    </font>
    <font>
      <b/>
      <sz val="10"/>
      <name val="Arial"/>
      <family val="2"/>
    </font>
    <font>
      <sz val="14"/>
      <name val="Arial"/>
      <family val="2"/>
    </font>
    <font>
      <sz val="8"/>
      <color indexed="81"/>
      <name val="Tahoma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1"/>
    <xf numFmtId="164" fontId="2" fillId="0" borderId="0" xfId="0" applyNumberFormat="1" applyFont="1" applyAlignment="1">
      <alignment horizontal="left"/>
    </xf>
    <xf numFmtId="0" fontId="0" fillId="0" borderId="0" xfId="0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0" fontId="2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/>
    <xf numFmtId="0" fontId="2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/>
    <xf numFmtId="0" fontId="2" fillId="3" borderId="7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/>
    <xf numFmtId="164" fontId="2" fillId="0" borderId="0" xfId="0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center"/>
    </xf>
    <xf numFmtId="0" fontId="0" fillId="0" borderId="0" xfId="0" applyFill="1" applyAlignment="1"/>
    <xf numFmtId="0" fontId="2" fillId="3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12"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1'!$H$17:$AF$17</c:f>
              <c:numCache>
                <c:formatCode>General</c:formatCode>
                <c:ptCount val="25"/>
                <c:pt idx="0">
                  <c:v>62</c:v>
                </c:pt>
                <c:pt idx="1">
                  <c:v>55</c:v>
                </c:pt>
                <c:pt idx="2">
                  <c:v>49</c:v>
                </c:pt>
                <c:pt idx="3">
                  <c:v>43</c:v>
                </c:pt>
                <c:pt idx="4">
                  <c:v>34</c:v>
                </c:pt>
                <c:pt idx="5">
                  <c:v>24</c:v>
                </c:pt>
                <c:pt idx="6">
                  <c:v>15</c:v>
                </c:pt>
                <c:pt idx="7">
                  <c:v>10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6816"/>
        <c:axId val="229382256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1'!$H$18:$AF$18</c:f>
              <c:numCache>
                <c:formatCode>General</c:formatCode>
                <c:ptCount val="25"/>
                <c:pt idx="0">
                  <c:v>62</c:v>
                </c:pt>
                <c:pt idx="1">
                  <c:v>55.8</c:v>
                </c:pt>
                <c:pt idx="2">
                  <c:v>49.6</c:v>
                </c:pt>
                <c:pt idx="3">
                  <c:v>43.4</c:v>
                </c:pt>
                <c:pt idx="4">
                  <c:v>37.200000000000003</c:v>
                </c:pt>
                <c:pt idx="5">
                  <c:v>31</c:v>
                </c:pt>
                <c:pt idx="6">
                  <c:v>24.799999999999997</c:v>
                </c:pt>
                <c:pt idx="7">
                  <c:v>18.600000000000001</c:v>
                </c:pt>
                <c:pt idx="8">
                  <c:v>12.399999999999999</c:v>
                </c:pt>
                <c:pt idx="9">
                  <c:v>6.1999999999999957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1'!$H$19:$AF$19</c:f>
              <c:numCache>
                <c:formatCode>General</c:formatCode>
                <c:ptCount val="25"/>
                <c:pt idx="0">
                  <c:v>62.844444444444441</c:v>
                </c:pt>
                <c:pt idx="1">
                  <c:v>55.411111111111104</c:v>
                </c:pt>
                <c:pt idx="2">
                  <c:v>47.977777777777774</c:v>
                </c:pt>
                <c:pt idx="3">
                  <c:v>40.544444444444437</c:v>
                </c:pt>
                <c:pt idx="4">
                  <c:v>33.111111111111107</c:v>
                </c:pt>
                <c:pt idx="5">
                  <c:v>25.677777777777777</c:v>
                </c:pt>
                <c:pt idx="6">
                  <c:v>18.24444444444444</c:v>
                </c:pt>
                <c:pt idx="7">
                  <c:v>10.81111111111111</c:v>
                </c:pt>
                <c:pt idx="8">
                  <c:v>3.37777777777778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6816"/>
        <c:axId val="229382256"/>
      </c:lineChart>
      <c:catAx>
        <c:axId val="22937681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2256"/>
        <c:crosses val="autoZero"/>
        <c:auto val="1"/>
        <c:lblAlgn val="ctr"/>
        <c:lblOffset val="100"/>
        <c:noMultiLvlLbl val="0"/>
      </c:catAx>
      <c:valAx>
        <c:axId val="22938225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229376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A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A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2'!$H$17:$AF$17</c:f>
              <c:numCache>
                <c:formatCode>General</c:formatCode>
                <c:ptCount val="25"/>
                <c:pt idx="0">
                  <c:v>62</c:v>
                </c:pt>
                <c:pt idx="1">
                  <c:v>55</c:v>
                </c:pt>
                <c:pt idx="2">
                  <c:v>49</c:v>
                </c:pt>
                <c:pt idx="3">
                  <c:v>43</c:v>
                </c:pt>
                <c:pt idx="4">
                  <c:v>34</c:v>
                </c:pt>
                <c:pt idx="5">
                  <c:v>24</c:v>
                </c:pt>
                <c:pt idx="6">
                  <c:v>15</c:v>
                </c:pt>
                <c:pt idx="7">
                  <c:v>10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9536"/>
        <c:axId val="229383888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2'!$H$18:$AF$18</c:f>
              <c:numCache>
                <c:formatCode>General</c:formatCode>
                <c:ptCount val="25"/>
                <c:pt idx="0">
                  <c:v>62</c:v>
                </c:pt>
                <c:pt idx="1">
                  <c:v>55.8</c:v>
                </c:pt>
                <c:pt idx="2">
                  <c:v>49.6</c:v>
                </c:pt>
                <c:pt idx="3">
                  <c:v>43.4</c:v>
                </c:pt>
                <c:pt idx="4">
                  <c:v>37.200000000000003</c:v>
                </c:pt>
                <c:pt idx="5">
                  <c:v>31</c:v>
                </c:pt>
                <c:pt idx="6">
                  <c:v>24.799999999999997</c:v>
                </c:pt>
                <c:pt idx="7">
                  <c:v>18.600000000000001</c:v>
                </c:pt>
                <c:pt idx="8">
                  <c:v>12.399999999999999</c:v>
                </c:pt>
                <c:pt idx="9">
                  <c:v>6.1999999999999957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2'!$H$19:$AF$19</c:f>
              <c:numCache>
                <c:formatCode>General</c:formatCode>
                <c:ptCount val="25"/>
                <c:pt idx="0">
                  <c:v>62.844444444444441</c:v>
                </c:pt>
                <c:pt idx="1">
                  <c:v>55.411111111111104</c:v>
                </c:pt>
                <c:pt idx="2">
                  <c:v>47.977777777777774</c:v>
                </c:pt>
                <c:pt idx="3">
                  <c:v>40.544444444444437</c:v>
                </c:pt>
                <c:pt idx="4">
                  <c:v>33.111111111111107</c:v>
                </c:pt>
                <c:pt idx="5">
                  <c:v>25.677777777777777</c:v>
                </c:pt>
                <c:pt idx="6">
                  <c:v>18.24444444444444</c:v>
                </c:pt>
                <c:pt idx="7">
                  <c:v>10.81111111111111</c:v>
                </c:pt>
                <c:pt idx="8">
                  <c:v>3.37777777777778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9536"/>
        <c:axId val="229383888"/>
      </c:lineChart>
      <c:catAx>
        <c:axId val="22937953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3888"/>
        <c:crosses val="autoZero"/>
        <c:auto val="1"/>
        <c:lblAlgn val="ctr"/>
        <c:lblOffset val="100"/>
        <c:noMultiLvlLbl val="0"/>
      </c:catAx>
      <c:valAx>
        <c:axId val="2293838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229379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A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A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'Plantilla Sprint'!$H$17:$AF$17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81712"/>
        <c:axId val="229380080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'Plantilla Sprint'!$H$18:$AF$18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'Plantilla Sprint'!$H$19:$AF$19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81712"/>
        <c:axId val="229380080"/>
      </c:lineChart>
      <c:catAx>
        <c:axId val="229381712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0080"/>
        <c:crosses val="autoZero"/>
        <c:auto val="1"/>
        <c:lblAlgn val="ctr"/>
        <c:lblOffset val="100"/>
        <c:noMultiLvlLbl val="0"/>
      </c:catAx>
      <c:valAx>
        <c:axId val="22938008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229381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A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A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15873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17613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1751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B1:AF71"/>
  <sheetViews>
    <sheetView tabSelected="1" workbookViewId="0">
      <selection activeCell="D3" sqref="D3:H3"/>
    </sheetView>
  </sheetViews>
  <sheetFormatPr baseColWidth="10" defaultColWidth="9.140625" defaultRowHeight="12.75" x14ac:dyDescent="0.2"/>
  <cols>
    <col min="1" max="1" width="3.28515625" customWidth="1"/>
    <col min="2" max="2" width="9.140625" customWidth="1"/>
    <col min="3" max="3" width="38.42578125" customWidth="1"/>
    <col min="4" max="4" width="10.7109375" style="1" customWidth="1"/>
    <col min="5" max="5" width="13.7109375" customWidth="1"/>
    <col min="6" max="6" width="10.85546875" customWidth="1"/>
    <col min="7" max="7" width="9.5703125" style="1" customWidth="1"/>
    <col min="8" max="32" width="4.42578125" style="1" customWidth="1"/>
  </cols>
  <sheetData>
    <row r="1" spans="2:32" ht="13.5" thickBot="1" x14ac:dyDescent="0.25"/>
    <row r="2" spans="2:32" ht="10.5" customHeight="1" x14ac:dyDescent="0.2">
      <c r="B2" s="16"/>
      <c r="C2" s="17"/>
      <c r="D2" s="18"/>
      <c r="E2" s="19"/>
      <c r="F2" s="19"/>
      <c r="G2" s="19"/>
      <c r="H2" s="19"/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8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pans="2:32" ht="15" customHeight="1" x14ac:dyDescent="0.2">
      <c r="B3" s="21"/>
      <c r="C3" s="14" t="s">
        <v>32</v>
      </c>
      <c r="D3" s="37" t="inlineStr">
        <is>
          <t xml:space="preserve">Sistema Inteligente: tumores en MRI</t>
        </is>
      </c>
      <c r="E3" s="37"/>
      <c r="F3" s="37"/>
      <c r="G3" s="37"/>
      <c r="H3" s="37"/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3"/>
      <c r="W3" s="15"/>
      <c r="X3" s="15"/>
      <c r="Y3" s="15"/>
      <c r="Z3" s="15"/>
      <c r="AA3" s="15"/>
      <c r="AB3" s="15"/>
      <c r="AC3" s="15"/>
      <c r="AD3" s="15"/>
      <c r="AE3" s="15"/>
      <c r="AF3" s="22"/>
    </row>
    <row r="4" spans="2:32" ht="15" customHeight="1" x14ac:dyDescent="0.2">
      <c r="B4" s="21"/>
      <c r="C4" s="14" t="s">
        <v>33</v>
      </c>
      <c r="D4" s="37" t="inlineStr">
        <is>
          <t xml:space="preserve">No aplica (proyecto académico)</t>
        </is>
      </c>
      <c r="E4" s="37"/>
      <c r="F4" s="37"/>
      <c r="G4" s="37"/>
      <c r="H4" s="37"/>
      <c r="I4" s="13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3"/>
      <c r="W4" s="15"/>
      <c r="X4" s="15"/>
      <c r="Y4" s="15"/>
      <c r="Z4" s="15"/>
      <c r="AA4" s="15"/>
      <c r="AB4" s="15"/>
      <c r="AC4" s="15"/>
      <c r="AD4" s="15"/>
      <c r="AE4" s="15"/>
      <c r="AF4" s="22"/>
    </row>
    <row r="5" spans="2:32" ht="15" customHeight="1" x14ac:dyDescent="0.2">
      <c r="B5" s="21"/>
      <c r="C5" s="14" t="s">
        <v>34</v>
      </c>
      <c r="D5" s="37" t="inlineStr">
        <is>
          <t xml:space="preserve">Coavoy Cruz Joseph Gabriel</t>
        </is>
      </c>
      <c r="E5" s="37"/>
      <c r="F5" s="37"/>
      <c r="G5" s="37"/>
      <c r="H5" s="37"/>
      <c r="I5" s="1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3"/>
      <c r="W5" s="15"/>
      <c r="X5" s="15"/>
      <c r="Y5" s="15"/>
      <c r="Z5" s="15"/>
      <c r="AA5" s="15"/>
      <c r="AB5" s="15"/>
      <c r="AC5" s="15"/>
      <c r="AD5" s="15"/>
      <c r="AE5" s="15"/>
      <c r="AF5" s="22"/>
    </row>
    <row r="6" spans="2:32" ht="15" customHeight="1" thickBot="1" x14ac:dyDescent="0.25">
      <c r="B6" s="23"/>
      <c r="C6" s="24"/>
      <c r="D6" s="25"/>
      <c r="E6" s="25"/>
      <c r="F6" s="25"/>
      <c r="G6" s="25"/>
      <c r="H6" s="25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6"/>
      <c r="W6" s="27"/>
      <c r="X6" s="27"/>
      <c r="Y6" s="27"/>
      <c r="Z6" s="27"/>
      <c r="AA6" s="27"/>
      <c r="AB6" s="27"/>
      <c r="AC6" s="27"/>
      <c r="AD6" s="27"/>
      <c r="AE6" s="27"/>
      <c r="AF6" s="28"/>
    </row>
    <row r="8" spans="2:32" ht="18" x14ac:dyDescent="0.25">
      <c r="C8" s="9">
        <v>1</v>
      </c>
      <c r="D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2:32" x14ac:dyDescent="0.2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6" spans="2:32" x14ac:dyDescent="0.2">
      <c r="B16" s="5"/>
      <c r="C16" s="5" t="s">
        <v>11</v>
      </c>
      <c r="D16" s="10">
        <v>8</v>
      </c>
      <c r="E16" s="5"/>
      <c r="F16" s="3"/>
      <c r="G16" s="7" t="s">
        <v>19</v>
      </c>
      <c r="H16" s="7" t="s">
        <v>20</v>
      </c>
      <c r="I16" s="7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2:32" x14ac:dyDescent="0.2">
      <c r="B17" s="5"/>
      <c r="C17" s="5" t="s">
        <v>12</v>
      </c>
      <c r="D17" s="10">
        <v>10</v>
      </c>
      <c r="E17" s="5" t="s">
        <v>13</v>
      </c>
      <c r="F17" s="5" t="s">
        <v>17</v>
      </c>
      <c r="G17" s="4">
        <f ca="1">SUM(OFFSET(G21,1,0,TaskRows,1))</f>
        <v>62</v>
      </c>
      <c r="H17" s="4">
        <f ca="1">IF(AND(SUM(OFFSET(H21,1,0,TaskRows,1))=0),0,SUM(OFFSET(H21,1,0,TaskRows,1)))</f>
        <v>62</v>
      </c>
      <c r="I17" s="4">
        <f t="shared" ref="I17:AF17" ca="1" si="0">IF(AND(SUM(OFFSET(I21,1,0,TaskRows,1))=0),"",SUM(OFFSET(I21,1,0,TaskRows,1)))</f>
        <v>55</v>
      </c>
      <c r="J17" s="4">
        <f t="shared" ca="1" si="0"/>
        <v>49</v>
      </c>
      <c r="K17" s="4">
        <f t="shared" ca="1" si="0"/>
        <v>43</v>
      </c>
      <c r="L17" s="4">
        <f t="shared" ca="1" si="0"/>
        <v>34</v>
      </c>
      <c r="M17" s="4">
        <f t="shared" ca="1" si="0"/>
        <v>24</v>
      </c>
      <c r="N17" s="4">
        <f t="shared" ca="1" si="0"/>
        <v>15</v>
      </c>
      <c r="O17" s="4">
        <f t="shared" ca="1" si="0"/>
        <v>10</v>
      </c>
      <c r="P17" s="4">
        <f t="shared" ca="1" si="0"/>
        <v>6</v>
      </c>
      <c r="Q17" s="4" t="str">
        <f t="shared" ca="1" si="0"/>
        <v/>
      </c>
      <c r="R17" s="4" t="str">
        <f t="shared" ca="1" si="0"/>
        <v/>
      </c>
      <c r="S17" s="4" t="str">
        <f t="shared" ca="1" si="0"/>
        <v/>
      </c>
      <c r="T17" s="4" t="str">
        <f t="shared" ca="1" si="0"/>
        <v/>
      </c>
      <c r="U17" s="4" t="str">
        <f t="shared" ca="1" si="0"/>
        <v/>
      </c>
      <c r="V17" s="4" t="str">
        <f t="shared" ca="1" si="0"/>
        <v/>
      </c>
      <c r="W17" s="4" t="str">
        <f t="shared" ca="1" si="0"/>
        <v/>
      </c>
      <c r="X17" s="4" t="str">
        <f t="shared" ca="1" si="0"/>
        <v/>
      </c>
      <c r="Y17" s="4" t="str">
        <f t="shared" ca="1" si="0"/>
        <v/>
      </c>
      <c r="Z17" s="4" t="str">
        <f t="shared" ca="1" si="0"/>
        <v/>
      </c>
      <c r="AA17" s="4" t="str">
        <f t="shared" ca="1" si="0"/>
        <v/>
      </c>
      <c r="AB17" s="4" t="str">
        <f t="shared" ca="1" si="0"/>
        <v/>
      </c>
      <c r="AC17" s="4" t="str">
        <f t="shared" ca="1" si="0"/>
        <v/>
      </c>
      <c r="AD17" s="4" t="str">
        <f t="shared" ca="1" si="0"/>
        <v/>
      </c>
      <c r="AE17" s="4" t="str">
        <f t="shared" ca="1" si="0"/>
        <v/>
      </c>
      <c r="AF17" s="4" t="str">
        <f t="shared" ca="1" si="0"/>
        <v/>
      </c>
    </row>
    <row r="18" spans="2:32" hidden="1" x14ac:dyDescent="0.2">
      <c r="C18" t="s">
        <v>1</v>
      </c>
      <c r="D18" s="1">
        <f>IF(COUNTA(C22:C249)=0,1,COUNTA(C22:C249))</f>
        <v>4</v>
      </c>
      <c r="E18" t="s">
        <v>2</v>
      </c>
      <c r="F18" s="1">
        <f ca="1">IF(COUNTIF(H17:AF17,"&gt;0")=0,1,COUNTIF(H17:AF17,"&gt;0"))</f>
        <v>9</v>
      </c>
      <c r="H18" s="1">
        <f ca="1">IF(H21="","",$G17-$G17/($D16-1)*(H21-1))</f>
        <v>62</v>
      </c>
      <c r="I18" s="1">
        <f t="shared" ref="I18:AF18" ca="1" si="1">IF(I21="","",TotalEffort-TotalEffort/(ImplementationDays)*(I21-1))</f>
        <v>55.8</v>
      </c>
      <c r="J18" s="1">
        <f t="shared" ca="1" si="1"/>
        <v>49.6</v>
      </c>
      <c r="K18" s="1">
        <f t="shared" ca="1" si="1"/>
        <v>43.4</v>
      </c>
      <c r="L18" s="1">
        <f t="shared" ca="1" si="1"/>
        <v>37.200000000000003</v>
      </c>
      <c r="M18" s="1">
        <f t="shared" ca="1" si="1"/>
        <v>31</v>
      </c>
      <c r="N18" s="1">
        <f t="shared" ca="1" si="1"/>
        <v>24.799999999999997</v>
      </c>
      <c r="O18" s="1">
        <f t="shared" ca="1" si="1"/>
        <v>18.600000000000001</v>
      </c>
      <c r="P18" s="1">
        <f t="shared" ca="1" si="1"/>
        <v>12.399999999999999</v>
      </c>
      <c r="Q18" s="1">
        <f t="shared" ca="1" si="1"/>
        <v>6.1999999999999957</v>
      </c>
      <c r="R18" s="1" t="str">
        <f t="shared" si="1"/>
        <v/>
      </c>
      <c r="S18" s="1" t="str">
        <f t="shared" si="1"/>
        <v/>
      </c>
      <c r="T18" s="1" t="str">
        <f t="shared" si="1"/>
        <v/>
      </c>
      <c r="U18" s="1" t="str">
        <f t="shared" si="1"/>
        <v/>
      </c>
      <c r="V18" s="1" t="str">
        <f t="shared" si="1"/>
        <v/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">
      <c r="C19" s="12" t="s">
        <v>5</v>
      </c>
      <c r="D19"/>
      <c r="E19" t="s">
        <v>3</v>
      </c>
      <c r="F19" s="1"/>
      <c r="H19" s="1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62.844444444444441</v>
      </c>
      <c r="I19" s="1">
        <f t="shared" ca="1" si="2"/>
        <v>55.411111111111104</v>
      </c>
      <c r="J19" s="1">
        <f t="shared" ca="1" si="2"/>
        <v>47.977777777777774</v>
      </c>
      <c r="K19" s="1">
        <f t="shared" ca="1" si="2"/>
        <v>40.544444444444437</v>
      </c>
      <c r="L19" s="1">
        <f t="shared" ca="1" si="2"/>
        <v>33.111111111111107</v>
      </c>
      <c r="M19" s="1">
        <f t="shared" ca="1" si="2"/>
        <v>25.677777777777777</v>
      </c>
      <c r="N19" s="1">
        <f t="shared" ca="1" si="2"/>
        <v>18.24444444444444</v>
      </c>
      <c r="O19" s="1">
        <f t="shared" ca="1" si="2"/>
        <v>10.81111111111111</v>
      </c>
      <c r="P19" s="1">
        <f t="shared" ca="1" si="2"/>
        <v>3.37777777777778</v>
      </c>
      <c r="Q19" s="1" t="str">
        <f t="shared" ca="1" si="2"/>
        <v/>
      </c>
      <c r="R19" s="1" t="str">
        <f t="shared" ca="1" si="2"/>
        <v/>
      </c>
      <c r="S19" s="1" t="str">
        <f t="shared" ca="1" si="2"/>
        <v/>
      </c>
      <c r="T19" s="1" t="str">
        <f t="shared" ca="1" si="2"/>
        <v/>
      </c>
      <c r="U19" s="1" t="str">
        <f t="shared" ca="1" si="2"/>
        <v/>
      </c>
      <c r="V19" s="1" t="str">
        <f t="shared" ca="1" si="2"/>
        <v/>
      </c>
      <c r="W19" s="1" t="str">
        <f t="shared" ca="1" si="2"/>
        <v/>
      </c>
      <c r="X19" s="1" t="str">
        <f t="shared" ca="1" si="2"/>
        <v/>
      </c>
      <c r="Y19" s="1" t="str">
        <f t="shared" ca="1" si="2"/>
        <v/>
      </c>
      <c r="Z19" s="1" t="str">
        <f t="shared" ca="1" si="2"/>
        <v/>
      </c>
      <c r="AA19" s="1" t="str">
        <f t="shared" ca="1" si="2"/>
        <v/>
      </c>
      <c r="AB19" s="1" t="str">
        <f t="shared" ca="1" si="2"/>
        <v/>
      </c>
      <c r="AC19" s="1" t="str">
        <f t="shared" ca="1" si="2"/>
        <v/>
      </c>
      <c r="AD19" s="1" t="str">
        <f t="shared" ca="1" si="2"/>
        <v/>
      </c>
      <c r="AE19" s="1" t="str">
        <f t="shared" ca="1" si="2"/>
        <v/>
      </c>
      <c r="AF19" s="1" t="str">
        <f t="shared" ca="1" si="2"/>
        <v/>
      </c>
    </row>
    <row r="20" spans="2:32" hidden="1" x14ac:dyDescent="0.2">
      <c r="C20" s="12" t="s">
        <v>6</v>
      </c>
      <c r="D20"/>
      <c r="E20" t="s">
        <v>4</v>
      </c>
      <c r="F20" s="1">
        <f ca="1">IF(DoneDays&gt;D17,D17,DoneDays)</f>
        <v>9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">
      <c r="B21" s="5" t="s">
        <v>10</v>
      </c>
      <c r="C21" s="6" t="s">
        <v>14</v>
      </c>
      <c r="D21" s="6" t="s">
        <v>15</v>
      </c>
      <c r="E21" s="6" t="s">
        <v>16</v>
      </c>
      <c r="F21" s="6" t="s">
        <v>18</v>
      </c>
      <c r="G21" s="6" t="s">
        <v>0</v>
      </c>
      <c r="H21" s="6">
        <v>1</v>
      </c>
      <c r="I21" s="6">
        <f t="shared" ref="I21:AF21" si="3">IF($D$16&gt;H21,H21+1,"")</f>
        <v>2</v>
      </c>
      <c r="J21" s="6">
        <f t="shared" si="3"/>
        <v>3</v>
      </c>
      <c r="K21" s="6">
        <f t="shared" si="3"/>
        <v>4</v>
      </c>
      <c r="L21" s="6">
        <f t="shared" si="3"/>
        <v>5</v>
      </c>
      <c r="M21" s="6">
        <f t="shared" si="3"/>
        <v>6</v>
      </c>
      <c r="N21" s="6">
        <f t="shared" si="3"/>
        <v>7</v>
      </c>
      <c r="O21" s="6">
        <f t="shared" si="3"/>
        <v>8</v>
      </c>
      <c r="P21" s="6">
        <f t="shared" si="3"/>
        <v>9</v>
      </c>
      <c r="Q21" s="6">
        <f t="shared" si="3"/>
        <v>10</v>
      </c>
      <c r="R21" s="6" t="str">
        <f t="shared" si="3"/>
        <v/>
      </c>
      <c r="S21" s="6" t="str">
        <f t="shared" si="3"/>
        <v/>
      </c>
      <c r="T21" s="6" t="str">
        <f t="shared" si="3"/>
        <v/>
      </c>
      <c r="U21" s="6" t="str">
        <f t="shared" si="3"/>
        <v/>
      </c>
      <c r="V21" s="6" t="str">
        <f t="shared" si="3"/>
        <v/>
      </c>
      <c r="W21" s="6" t="str">
        <f t="shared" si="3"/>
        <v/>
      </c>
      <c r="X21" s="6" t="str">
        <f t="shared" si="3"/>
        <v/>
      </c>
      <c r="Y21" s="6" t="str">
        <f t="shared" si="3"/>
        <v/>
      </c>
      <c r="Z21" s="6" t="str">
        <f t="shared" si="3"/>
        <v/>
      </c>
      <c r="AA21" s="6" t="str">
        <f t="shared" si="3"/>
        <v/>
      </c>
      <c r="AB21" s="6" t="str">
        <f t="shared" si="3"/>
        <v/>
      </c>
      <c r="AC21" s="6" t="str">
        <f t="shared" si="3"/>
        <v/>
      </c>
      <c r="AD21" s="6" t="str">
        <f t="shared" si="3"/>
        <v/>
      </c>
      <c r="AE21" s="6" t="str">
        <f t="shared" si="3"/>
        <v/>
      </c>
      <c r="AF21" s="6" t="str">
        <f t="shared" si="3"/>
        <v/>
      </c>
    </row>
    <row r="22" spans="2:32" x14ac:dyDescent="0.2">
      <c r="B22" t="inlineStr">
        <is>
          <t xml:space="preserve">1.1</t>
        </is>
      </c>
      <c r="C22" t="inlineStr">
        <is>
          <t xml:space="preserve">Redactar el Acta de Constitución</t>
        </is>
      </c>
      <c r="D22" s="1" t="inlineStr">
        <is>
          <t xml:space="preserve">HU01</t>
        </is>
      </c>
      <c r="E22" t="inlineStr">
        <is>
          <t xml:space="preserve">Por asignar</t>
        </is>
      </c>
      <c r="F22" t="inlineStr">
        <is>
          <t xml:space="preserve">Terminado</t>
        </is>
      </c>
      <c r="G22" s="1">
        <v>6</v>
      </c>
      <c r="H22" s="1">
        <f t="shared" ref="H22:H66" si="4">IF(OR(H$21="",$G22=""),"",G22)</f>
        <v>15</v>
      </c>
      <c r="I22" s="1"/>
      <c r="J22" s="1"/>
      <c r="K22" s="1"/>
      <c r="L22" s="1"/>
      <c r="M22" s="1"/>
      <c r="N22" s="1"/>
      <c r="O22" s="1"/>
      <c r="P22" s="1"/>
      <c r="Q22" s="1"/>
      <c r="AE22" s="1" t="str">
        <f t="shared" ref="AE22:AF37" si="5">IF(OR(AE$21="",$G22=""),"",AD22)</f>
        <v/>
      </c>
      <c r="AF22" s="1" t="str">
        <f t="shared" si="5"/>
        <v/>
      </c>
    </row>
    <row r="23" spans="2:32" x14ac:dyDescent="0.2">
      <c r="B23" t="inlineStr">
        <is>
          <t xml:space="preserve">1.2</t>
        </is>
      </c>
      <c r="C23" t="inlineStr">
        <is>
          <t xml:space="preserve">Fijar las metas medibles</t>
        </is>
      </c>
      <c r="D23" s="1" t="inlineStr">
        <is>
          <t xml:space="preserve">HU01</t>
        </is>
      </c>
      <c r="E23" t="inlineStr">
        <is>
          <t xml:space="preserve">Por asignar</t>
        </is>
      </c>
      <c r="F23" t="inlineStr">
        <is>
          <t xml:space="preserve">Terminado</t>
        </is>
      </c>
      <c r="G23" s="1">
        <v>2</v>
      </c>
      <c r="H23" s="1">
        <f t="shared" si="4"/>
        <v>17</v>
      </c>
      <c r="I23" s="1"/>
      <c r="J23" s="1"/>
      <c r="K23" s="1"/>
      <c r="L23" s="1"/>
      <c r="M23" s="1"/>
      <c r="N23" s="1"/>
      <c r="O23" s="1"/>
      <c r="P23" s="1"/>
      <c r="Q23" s="1"/>
      <c r="AE23" s="1" t="str">
        <f t="shared" si="5"/>
        <v/>
      </c>
      <c r="AF23" s="1" t="str">
        <f t="shared" si="5"/>
        <v/>
      </c>
    </row>
    <row r="24" spans="2:32" x14ac:dyDescent="0.2">
      <c r="B24" t="inlineStr">
        <is>
          <t xml:space="preserve">1.3</t>
        </is>
      </c>
      <c r="C24" t="inlineStr">
        <is>
          <t xml:space="preserve">Armar el backlog y el Gantt</t>
        </is>
      </c>
      <c r="D24" s="1" t="inlineStr">
        <is>
          <t xml:space="preserve">HU01</t>
        </is>
      </c>
      <c r="E24" t="inlineStr">
        <is>
          <t xml:space="preserve">Por asignar</t>
        </is>
      </c>
      <c r="F24" t="inlineStr">
        <is>
          <t xml:space="preserve">Terminado</t>
        </is>
      </c>
      <c r="G24" s="1">
        <v>4</v>
      </c>
      <c r="H24" s="1">
        <f t="shared" si="4"/>
        <v>12</v>
      </c>
      <c r="I24" s="1"/>
      <c r="J24" s="1"/>
      <c r="K24" s="1"/>
      <c r="L24" s="1"/>
      <c r="M24" s="1"/>
      <c r="N24" s="1"/>
      <c r="O24" s="1"/>
      <c r="P24" s="1"/>
      <c r="Q24" s="1"/>
      <c r="AE24" s="1" t="str">
        <f t="shared" si="5"/>
        <v/>
      </c>
      <c r="AF24" s="1" t="str">
        <f t="shared" si="5"/>
        <v/>
      </c>
    </row>
    <row r="25" spans="2:32" x14ac:dyDescent="0.2">
      <c r="B25" t="inlineStr">
        <is>
          <t xml:space="preserve">2.1</t>
        </is>
      </c>
      <c r="C25" t="inlineStr">
        <is>
          <t xml:space="preserve">Descargar BRISC y preparar notebook</t>
        </is>
      </c>
      <c r="D25" s="1" t="inlineStr">
        <is>
          <t xml:space="preserve">HU02</t>
        </is>
      </c>
      <c r="E25" t="inlineStr">
        <is>
          <t xml:space="preserve">Por asignar</t>
        </is>
      </c>
      <c r="F25" t="inlineStr">
        <is>
          <t xml:space="preserve">Terminado</t>
        </is>
      </c>
      <c r="G25" s="1">
        <v>2</v>
      </c>
      <c r="H25" s="1">
        <f t="shared" si="4"/>
        <v>18</v>
      </c>
      <c r="I25" s="1"/>
      <c r="J25" s="1"/>
      <c r="K25" s="1"/>
      <c r="L25" s="1"/>
      <c r="M25" s="1"/>
      <c r="N25" s="1"/>
      <c r="O25" s="1"/>
      <c r="P25" s="1"/>
      <c r="Q25" s="1"/>
      <c r="AE25" s="1" t="str">
        <f t="shared" si="5"/>
        <v/>
      </c>
      <c r="AF25" s="1" t="str">
        <f t="shared" si="5"/>
        <v/>
      </c>
    </row>
    <row r="26" spans="2:32" x14ac:dyDescent="0.2">
      <c r="B26" s="5" t="inlineStr">
        <is>
          <t xml:space="preserve">2.2</t>
        </is>
      </c>
      <c r="C26" s="6" t="inlineStr">
        <is>
          <t xml:space="preserve">Verificar estructura y manifest</t>
        </is>
      </c>
      <c r="D26" s="1" t="inlineStr">
        <is>
          <t xml:space="preserve">HU02</t>
        </is>
      </c>
      <c r="E26" s="6" t="inlineStr">
        <is>
          <t xml:space="preserve">Por asignar</t>
        </is>
      </c>
      <c r="F26" t="inlineStr">
        <is>
          <t xml:space="preserve">Terminado</t>
        </is>
      </c>
      <c r="G26" s="1">
        <v>2</v>
      </c>
      <c r="H26" s="1" t="str">
        <f t="shared" si="4"/>
        <v/>
      </c>
      <c r="AE26" s="1" t="str">
        <f t="shared" si="5"/>
        <v/>
      </c>
      <c r="AF26" s="1" t="str">
        <f t="shared" si="5"/>
        <v/>
      </c>
    </row>
    <row r="27" spans="2:32" x14ac:dyDescent="0.2">
      <c r="B27" s="5" t="inlineStr">
        <is>
          <t xml:space="preserve">2.3</t>
        </is>
      </c>
      <c r="C27" s="6" t="inlineStr">
        <is>
          <t xml:space="preserve">Conteos por clase, partición y plano</t>
        </is>
      </c>
      <c r="D27" s="1" t="inlineStr">
        <is>
          <t xml:space="preserve">HU02</t>
        </is>
      </c>
      <c r="E27" s="6" t="inlineStr">
        <is>
          <t xml:space="preserve">Por asignar</t>
        </is>
      </c>
      <c r="F27" t="inlineStr">
        <is>
          <t xml:space="preserve">Terminado</t>
        </is>
      </c>
      <c r="G27" s="1">
        <v>3</v>
      </c>
      <c r="H27" s="1" t="str">
        <f t="shared" si="4"/>
        <v/>
      </c>
      <c r="AE27" s="1" t="str">
        <f t="shared" si="5"/>
        <v/>
      </c>
      <c r="AF27" s="1" t="str">
        <f t="shared" si="5"/>
        <v/>
      </c>
    </row>
    <row r="28" spans="2:32" x14ac:dyDescent="0.2">
      <c r="B28" s="5" t="inlineStr">
        <is>
          <t xml:space="preserve">2.4</t>
        </is>
      </c>
      <c r="C28" s="6" t="inlineStr">
        <is>
          <t xml:space="preserve">Dimensiones y % de tumor</t>
        </is>
      </c>
      <c r="D28" s="1" t="inlineStr">
        <is>
          <t xml:space="preserve">HU02</t>
        </is>
      </c>
      <c r="E28" s="6" t="inlineStr">
        <is>
          <t xml:space="preserve">Por asignar</t>
        </is>
      </c>
      <c r="F28" t="inlineStr">
        <is>
          <t xml:space="preserve">Terminado</t>
        </is>
      </c>
      <c r="G28" s="1">
        <v>3</v>
      </c>
      <c r="H28" s="1" t="str">
        <f t="shared" si="4"/>
        <v/>
      </c>
      <c r="AE28" s="1" t="str">
        <f t="shared" si="5"/>
        <v/>
      </c>
      <c r="AF28" s="1" t="str">
        <f t="shared" si="5"/>
        <v/>
      </c>
    </row>
    <row r="29" spans="2:32" x14ac:dyDescent="0.2">
      <c r="B29" s="5" t="inlineStr">
        <is>
          <t xml:space="preserve">2.5</t>
        </is>
      </c>
      <c r="C29" s="6" t="inlineStr">
        <is>
          <t xml:space="preserve">Galería imagen con máscara</t>
        </is>
      </c>
      <c r="D29" s="1" t="inlineStr">
        <is>
          <t xml:space="preserve">HU02</t>
        </is>
      </c>
      <c r="E29" s="6" t="inlineStr">
        <is>
          <t xml:space="preserve">Por asignar</t>
        </is>
      </c>
      <c r="F29" t="inlineStr">
        <is>
          <t xml:space="preserve">Terminado</t>
        </is>
      </c>
      <c r="G29" s="1">
        <v>2</v>
      </c>
      <c r="H29" s="1" t="str">
        <f t="shared" si="4"/>
        <v/>
      </c>
      <c r="AE29" s="1" t="str">
        <f t="shared" si="5"/>
        <v/>
      </c>
      <c r="AF29" s="1" t="str">
        <f t="shared" si="5"/>
        <v/>
      </c>
    </row>
    <row r="30" spans="2:32" x14ac:dyDescent="0.2">
      <c r="B30" s="5" t="inlineStr">
        <is>
          <t xml:space="preserve">2.6</t>
        </is>
      </c>
      <c r="C30" s="6" t="inlineStr">
        <is>
          <t xml:space="preserve">Confirmar máscaras y licencia</t>
        </is>
      </c>
      <c r="D30" s="1" t="inlineStr">
        <is>
          <t xml:space="preserve">HU02</t>
        </is>
      </c>
      <c r="E30" s="6" t="inlineStr">
        <is>
          <t xml:space="preserve">Por asignar</t>
        </is>
      </c>
      <c r="F30" t="inlineStr">
        <is>
          <t xml:space="preserve">Terminado</t>
        </is>
      </c>
      <c r="G30" s="1">
        <v>1</v>
      </c>
      <c r="H30" s="1" t="str">
        <f t="shared" si="4"/>
        <v/>
      </c>
      <c r="AE30" s="1" t="str">
        <f t="shared" si="5"/>
        <v/>
      </c>
      <c r="AF30" s="1" t="str">
        <f t="shared" si="5"/>
        <v/>
      </c>
    </row>
    <row r="31" spans="2:32" x14ac:dyDescent="0.2">
      <c r="B31" s="5" t="inlineStr">
        <is>
          <t xml:space="preserve">2.7</t>
        </is>
      </c>
      <c r="C31" s="6" t="inlineStr">
        <is>
          <t xml:space="preserve">Resumir hallazgos del EDA</t>
        </is>
      </c>
      <c r="D31" s="1" t="inlineStr">
        <is>
          <t xml:space="preserve">HU02</t>
        </is>
      </c>
      <c r="E31" s="6" t="inlineStr">
        <is>
          <t xml:space="preserve">Por asignar</t>
        </is>
      </c>
      <c r="F31" t="inlineStr">
        <is>
          <t xml:space="preserve">Terminado</t>
        </is>
      </c>
      <c r="G31" s="1">
        <v>2</v>
      </c>
      <c r="H31" s="1" t="str">
        <f t="shared" si="4"/>
        <v/>
      </c>
      <c r="AE31" s="1" t="str">
        <f t="shared" si="5"/>
        <v/>
      </c>
      <c r="AF31" s="1" t="str">
        <f t="shared" si="5"/>
        <v/>
      </c>
    </row>
    <row r="32" spans="2:32" x14ac:dyDescent="0.2">
      <c r="B32" s="5" t="inlineStr">
        <is>
          <t xml:space="preserve">3.1</t>
        </is>
      </c>
      <c r="C32" s="6" t="inlineStr">
        <is>
          <t xml:space="preserve">Verificar archivos y pares</t>
        </is>
      </c>
      <c r="D32" s="1" t="inlineStr">
        <is>
          <t xml:space="preserve">HU03</t>
        </is>
      </c>
      <c r="E32" s="6" t="inlineStr">
        <is>
          <t xml:space="preserve">Por asignar</t>
        </is>
      </c>
      <c r="F32" t="inlineStr">
        <is>
          <t xml:space="preserve">Terminado</t>
        </is>
      </c>
      <c r="G32" s="1">
        <v>3</v>
      </c>
      <c r="H32" s="1" t="str">
        <f t="shared" si="4"/>
        <v/>
      </c>
      <c r="AE32" s="1" t="str">
        <f t="shared" si="5"/>
        <v/>
      </c>
      <c r="AF32" s="1" t="str">
        <f t="shared" si="5"/>
        <v/>
      </c>
    </row>
    <row r="33" spans="6:32" x14ac:dyDescent="0.2">
      <c r="B33" s="5" t="inlineStr">
        <is>
          <t xml:space="preserve">3.2</t>
        </is>
      </c>
      <c r="C33" s="6" t="inlineStr">
        <is>
          <t xml:space="preserve">Agrupar imágenes parecidas</t>
        </is>
      </c>
      <c r="D33" s="1" t="inlineStr">
        <is>
          <t xml:space="preserve">HU03</t>
        </is>
      </c>
      <c r="E33" s="6" t="inlineStr">
        <is>
          <t xml:space="preserve">Por asignar</t>
        </is>
      </c>
      <c r="F33" t="inlineStr">
        <is>
          <t xml:space="preserve">Terminado</t>
        </is>
      </c>
      <c r="G33" s="1">
        <v>4</v>
      </c>
      <c r="H33" s="1" t="str">
        <f t="shared" si="4"/>
        <v/>
      </c>
      <c r="AE33" s="1" t="str">
        <f t="shared" si="5"/>
        <v/>
      </c>
      <c r="AF33" s="1" t="str">
        <f t="shared" si="5"/>
        <v/>
      </c>
    </row>
    <row r="34" spans="6:32" x14ac:dyDescent="0.2">
      <c r="B34" s="5" t="inlineStr">
        <is>
          <t xml:space="preserve">3.3</t>
        </is>
      </c>
      <c r="C34" s="6" t="inlineStr">
        <is>
          <t xml:space="preserve">Definir partición train/val</t>
        </is>
      </c>
      <c r="D34" s="1" t="inlineStr">
        <is>
          <t xml:space="preserve">HU03</t>
        </is>
      </c>
      <c r="E34" s="6" t="inlineStr">
        <is>
          <t xml:space="preserve">Por asignar</t>
        </is>
      </c>
      <c r="F34" t="inlineStr">
        <is>
          <t xml:space="preserve">Terminado</t>
        </is>
      </c>
      <c r="G34" s="1">
        <v>3</v>
      </c>
      <c r="H34" s="1" t="str">
        <f t="shared" si="4"/>
        <v/>
      </c>
      <c r="AE34" s="1" t="str">
        <f t="shared" si="5"/>
        <v/>
      </c>
      <c r="AF34" s="1" t="str">
        <f t="shared" si="5"/>
        <v/>
      </c>
    </row>
    <row r="35" spans="6:32" x14ac:dyDescent="0.2">
      <c r="B35" s="5" t="inlineStr">
        <is>
          <t xml:space="preserve">3.4</t>
        </is>
      </c>
      <c r="C35" s="6" t="inlineStr">
        <is>
          <t xml:space="preserve">Guardar y versionar partición</t>
        </is>
      </c>
      <c r="D35" s="1" t="inlineStr">
        <is>
          <t xml:space="preserve">HU03</t>
        </is>
      </c>
      <c r="E35" s="6" t="inlineStr">
        <is>
          <t xml:space="preserve">Por asignar</t>
        </is>
      </c>
      <c r="F35" t="inlineStr">
        <is>
          <t xml:space="preserve">Terminado</t>
        </is>
      </c>
      <c r="G35" s="1">
        <v>1</v>
      </c>
      <c r="H35" s="1" t="str">
        <f t="shared" si="4"/>
        <v/>
      </c>
      <c r="AE35" s="1" t="str">
        <f t="shared" si="5"/>
        <v/>
      </c>
      <c r="AF35" s="1" t="str">
        <f t="shared" si="5"/>
        <v/>
      </c>
    </row>
    <row r="36" spans="6:32" x14ac:dyDescent="0.2">
      <c r="B36" s="5" t="inlineStr">
        <is>
          <t xml:space="preserve">3.5</t>
        </is>
      </c>
      <c r="C36" s="6" t="inlineStr">
        <is>
          <t xml:space="preserve">Cargador de datos y lote de prueba</t>
        </is>
      </c>
      <c r="D36" s="1" t="inlineStr">
        <is>
          <t xml:space="preserve">HU03</t>
        </is>
      </c>
      <c r="E36" s="6" t="inlineStr">
        <is>
          <t xml:space="preserve">Por asignar</t>
        </is>
      </c>
      <c r="F36" t="inlineStr">
        <is>
          <t xml:space="preserve">Terminado</t>
        </is>
      </c>
      <c r="G36" s="1">
        <v>4</v>
      </c>
      <c r="H36" s="1" t="str">
        <f t="shared" si="4"/>
        <v/>
      </c>
      <c r="AE36" s="1" t="str">
        <f t="shared" si="5"/>
        <v/>
      </c>
      <c r="AF36" s="1" t="str">
        <f t="shared" si="5"/>
        <v/>
      </c>
    </row>
    <row r="37" spans="6:32" x14ac:dyDescent="0.2">
      <c r="B37" s="5" t="inlineStr">
        <is>
          <t xml:space="preserve">3.6</t>
        </is>
      </c>
      <c r="C37" s="6" t="inlineStr">
        <is>
          <t xml:space="preserve">Fijar el preprocesamiento</t>
        </is>
      </c>
      <c r="D37" s="1" t="inlineStr">
        <is>
          <t xml:space="preserve">HU03</t>
        </is>
      </c>
      <c r="E37" s="6" t="inlineStr">
        <is>
          <t xml:space="preserve">Por asignar</t>
        </is>
      </c>
      <c r="F37" t="inlineStr">
        <is>
          <t xml:space="preserve">Terminado</t>
        </is>
      </c>
      <c r="G37" s="1">
        <v>2</v>
      </c>
      <c r="H37" s="1" t="str">
        <f t="shared" si="4"/>
        <v/>
      </c>
      <c r="AE37" s="1" t="str">
        <f t="shared" si="5"/>
        <v/>
      </c>
      <c r="AF37" s="1" t="str">
        <f t="shared" si="5"/>
        <v/>
      </c>
    </row>
    <row r="38" spans="6:32" x14ac:dyDescent="0.2">
      <c r="B38" s="5" t="inlineStr">
        <is>
          <t xml:space="preserve">4.1</t>
        </is>
      </c>
      <c r="C38" s="6" t="inlineStr">
        <is>
          <t xml:space="preserve">Armar diapositivas del Sprint 1</t>
        </is>
      </c>
      <c r="D38" s="1" t="inlineStr">
        <is>
          <t xml:space="preserve">HU04</t>
        </is>
      </c>
      <c r="E38" s="6" t="inlineStr">
        <is>
          <t xml:space="preserve">Por asignar</t>
        </is>
      </c>
      <c r="F38" t="inlineStr">
        <is>
          <t xml:space="preserve">Terminado</t>
        </is>
      </c>
      <c r="G38" s="1">
        <v>5</v>
      </c>
      <c r="H38" s="1" t="str">
        <f t="shared" si="4"/>
        <v/>
      </c>
      <c r="AE38" s="1" t="str">
        <f t="shared" ref="AE38:AF53" si="7">IF(OR(AE$21="",$G38=""),"",AD38)</f>
        <v/>
      </c>
      <c r="AF38" s="1" t="str">
        <f t="shared" si="7"/>
        <v/>
      </c>
    </row>
    <row r="39" spans="6:32" x14ac:dyDescent="0.2">
      <c r="B39" s="5" t="inlineStr">
        <is>
          <t xml:space="preserve">4.2</t>
        </is>
      </c>
      <c r="C39" s="6" t="inlineStr">
        <is>
          <t xml:space="preserve">Ensayar la presentación</t>
        </is>
      </c>
      <c r="D39" s="1" t="inlineStr">
        <is>
          <t xml:space="preserve">HU04</t>
        </is>
      </c>
      <c r="E39" s="6" t="inlineStr">
        <is>
          <t xml:space="preserve">Por asignar</t>
        </is>
      </c>
      <c r="F39" t="inlineStr">
        <is>
          <t xml:space="preserve">Terminado</t>
        </is>
      </c>
      <c r="G39" s="1">
        <v>2</v>
      </c>
      <c r="H39" s="1" t="str">
        <f t="shared" si="4"/>
        <v/>
      </c>
      <c r="AE39" s="1" t="str">
        <f t="shared" si="7"/>
        <v/>
      </c>
      <c r="AF39" s="1" t="str">
        <f t="shared" si="7"/>
        <v/>
      </c>
    </row>
    <row r="40" spans="6:32" x14ac:dyDescent="0.2">
      <c r="B40" s="5" t="inlineStr">
        <is>
          <t xml:space="preserve">4.3</t>
        </is>
      </c>
      <c r="C40" s="6" t="inlineStr">
        <is>
          <t xml:space="preserve">Retrospectiva del Sprint 1</t>
        </is>
      </c>
      <c r="D40" s="1" t="inlineStr">
        <is>
          <t xml:space="preserve">HU04</t>
        </is>
      </c>
      <c r="E40" s="6" t="inlineStr">
        <is>
          <t xml:space="preserve">Por asignar</t>
        </is>
      </c>
      <c r="F40" t="inlineStr">
        <is>
          <t xml:space="preserve">Terminado</t>
        </is>
      </c>
      <c r="G40" s="1">
        <v>2</v>
      </c>
      <c r="H40" s="1" t="str">
        <f t="shared" si="4"/>
        <v/>
      </c>
      <c r="AE40" s="1" t="str">
        <f t="shared" si="7"/>
        <v/>
      </c>
      <c r="AF40" s="1" t="str">
        <f t="shared" si="7"/>
        <v/>
      </c>
    </row>
    <row r="41" spans="6:32" x14ac:dyDescent="0.2">
      <c r="F41" t="str">
        <f t="shared" si="6"/>
        <v/>
      </c>
      <c r="H41" s="1" t="str">
        <f t="shared" si="4"/>
        <v/>
      </c>
      <c r="AE41" s="1" t="str">
        <f t="shared" si="7"/>
        <v/>
      </c>
      <c r="AF41" s="1" t="str">
        <f t="shared" si="7"/>
        <v/>
      </c>
    </row>
    <row r="42" spans="6:32" x14ac:dyDescent="0.2">
      <c r="F42" t="str">
        <f t="shared" si="6"/>
        <v/>
      </c>
      <c r="H42" s="1" t="str">
        <f t="shared" si="4"/>
        <v/>
      </c>
      <c r="AE42" s="1" t="str">
        <f t="shared" si="7"/>
        <v/>
      </c>
      <c r="AF42" s="1" t="str">
        <f t="shared" si="7"/>
        <v/>
      </c>
    </row>
    <row r="43" spans="6:32" x14ac:dyDescent="0.2">
      <c r="F43" t="str">
        <f t="shared" si="6"/>
        <v/>
      </c>
      <c r="H43" s="1" t="str">
        <f t="shared" si="4"/>
        <v/>
      </c>
      <c r="AE43" s="1" t="str">
        <f t="shared" si="7"/>
        <v/>
      </c>
      <c r="AF43" s="1" t="str">
        <f t="shared" si="7"/>
        <v/>
      </c>
    </row>
    <row r="44" spans="6:32" x14ac:dyDescent="0.2">
      <c r="F44" t="str">
        <f t="shared" si="6"/>
        <v/>
      </c>
      <c r="H44" s="1" t="str">
        <f t="shared" si="4"/>
        <v/>
      </c>
      <c r="AE44" s="1" t="str">
        <f t="shared" si="7"/>
        <v/>
      </c>
      <c r="AF44" s="1" t="str">
        <f t="shared" si="7"/>
        <v/>
      </c>
    </row>
    <row r="45" spans="6:32" x14ac:dyDescent="0.2">
      <c r="F45" t="str">
        <f t="shared" si="6"/>
        <v/>
      </c>
      <c r="H45" s="1" t="str">
        <f t="shared" si="4"/>
        <v/>
      </c>
      <c r="AE45" s="1" t="str">
        <f t="shared" si="7"/>
        <v/>
      </c>
      <c r="AF45" s="1" t="str">
        <f t="shared" si="7"/>
        <v/>
      </c>
    </row>
    <row r="46" spans="6:32" x14ac:dyDescent="0.2">
      <c r="F46" t="str">
        <f t="shared" si="6"/>
        <v/>
      </c>
      <c r="H46" s="1" t="str">
        <f t="shared" si="4"/>
        <v/>
      </c>
      <c r="AE46" s="1" t="str">
        <f t="shared" si="7"/>
        <v/>
      </c>
      <c r="AF46" s="1" t="str">
        <f t="shared" si="7"/>
        <v/>
      </c>
    </row>
    <row r="47" spans="6:32" x14ac:dyDescent="0.2">
      <c r="F47" t="str">
        <f t="shared" si="6"/>
        <v/>
      </c>
      <c r="H47" s="1" t="str">
        <f t="shared" si="4"/>
        <v/>
      </c>
      <c r="AE47" s="1" t="str">
        <f t="shared" si="7"/>
        <v/>
      </c>
      <c r="AF47" s="1" t="str">
        <f t="shared" si="7"/>
        <v/>
      </c>
    </row>
    <row r="48" spans="6:32" x14ac:dyDescent="0.2">
      <c r="F48" t="str">
        <f t="shared" si="6"/>
        <v/>
      </c>
      <c r="H48" s="1" t="str">
        <f t="shared" si="4"/>
        <v/>
      </c>
      <c r="AE48" s="1" t="str">
        <f t="shared" si="7"/>
        <v/>
      </c>
      <c r="AF48" s="1" t="str">
        <f t="shared" si="7"/>
        <v/>
      </c>
    </row>
    <row r="49" spans="6:32" x14ac:dyDescent="0.2">
      <c r="F49" t="str">
        <f t="shared" si="6"/>
        <v/>
      </c>
      <c r="H49" s="1" t="str">
        <f t="shared" si="4"/>
        <v/>
      </c>
      <c r="AE49" s="1" t="str">
        <f t="shared" si="7"/>
        <v/>
      </c>
      <c r="AF49" s="1" t="str">
        <f t="shared" si="7"/>
        <v/>
      </c>
    </row>
    <row r="50" spans="6:32" x14ac:dyDescent="0.2">
      <c r="F50" t="str">
        <f t="shared" si="6"/>
        <v/>
      </c>
      <c r="H50" s="1" t="str">
        <f t="shared" si="4"/>
        <v/>
      </c>
      <c r="AE50" s="1" t="str">
        <f t="shared" si="7"/>
        <v/>
      </c>
      <c r="AF50" s="1" t="str">
        <f t="shared" si="7"/>
        <v/>
      </c>
    </row>
    <row r="51" spans="6:32" x14ac:dyDescent="0.2">
      <c r="F51" t="str">
        <f t="shared" si="6"/>
        <v/>
      </c>
      <c r="H51" s="1" t="str">
        <f t="shared" si="4"/>
        <v/>
      </c>
      <c r="AE51" s="1" t="str">
        <f t="shared" si="7"/>
        <v/>
      </c>
      <c r="AF51" s="1" t="str">
        <f t="shared" si="7"/>
        <v/>
      </c>
    </row>
    <row r="52" spans="6:32" x14ac:dyDescent="0.2">
      <c r="F52" t="str">
        <f t="shared" si="6"/>
        <v/>
      </c>
      <c r="H52" s="1" t="str">
        <f t="shared" si="4"/>
        <v/>
      </c>
      <c r="AE52" s="1" t="str">
        <f t="shared" si="7"/>
        <v/>
      </c>
      <c r="AF52" s="1" t="str">
        <f t="shared" si="7"/>
        <v/>
      </c>
    </row>
    <row r="53" spans="6:32" x14ac:dyDescent="0.2">
      <c r="F53" t="str">
        <f t="shared" si="6"/>
        <v/>
      </c>
      <c r="H53" s="1" t="str">
        <f t="shared" si="4"/>
        <v/>
      </c>
      <c r="AE53" s="1" t="str">
        <f t="shared" si="7"/>
        <v/>
      </c>
      <c r="AF53" s="1" t="str">
        <f t="shared" si="7"/>
        <v/>
      </c>
    </row>
    <row r="54" spans="6:32" x14ac:dyDescent="0.2">
      <c r="F54" t="str">
        <f t="shared" si="6"/>
        <v/>
      </c>
      <c r="H54" s="1" t="str">
        <f t="shared" si="4"/>
        <v/>
      </c>
      <c r="AE54" s="1" t="str">
        <f t="shared" ref="AE54:AF65" si="8">IF(OR(AE$21="",$G54=""),"",AD54)</f>
        <v/>
      </c>
      <c r="AF54" s="1" t="str">
        <f t="shared" si="8"/>
        <v/>
      </c>
    </row>
    <row r="55" spans="6:32" x14ac:dyDescent="0.2">
      <c r="F55" t="str">
        <f t="shared" si="6"/>
        <v/>
      </c>
      <c r="H55" s="1" t="str">
        <f t="shared" si="4"/>
        <v/>
      </c>
      <c r="AE55" s="1" t="str">
        <f t="shared" si="8"/>
        <v/>
      </c>
      <c r="AF55" s="1" t="str">
        <f t="shared" si="8"/>
        <v/>
      </c>
    </row>
    <row r="56" spans="6:32" x14ac:dyDescent="0.2">
      <c r="F56" t="str">
        <f t="shared" si="6"/>
        <v/>
      </c>
      <c r="H56" s="1" t="str">
        <f t="shared" si="4"/>
        <v/>
      </c>
      <c r="AE56" s="1" t="str">
        <f t="shared" si="8"/>
        <v/>
      </c>
      <c r="AF56" s="1" t="str">
        <f t="shared" si="8"/>
        <v/>
      </c>
    </row>
    <row r="57" spans="6:32" x14ac:dyDescent="0.2">
      <c r="F57" t="str">
        <f t="shared" si="6"/>
        <v/>
      </c>
      <c r="H57" s="1" t="str">
        <f t="shared" si="4"/>
        <v/>
      </c>
      <c r="AE57" s="1" t="str">
        <f t="shared" si="8"/>
        <v/>
      </c>
      <c r="AF57" s="1" t="str">
        <f t="shared" si="8"/>
        <v/>
      </c>
    </row>
    <row r="58" spans="6:32" x14ac:dyDescent="0.2">
      <c r="F58" t="str">
        <f t="shared" si="6"/>
        <v/>
      </c>
      <c r="H58" s="1" t="str">
        <f t="shared" si="4"/>
        <v/>
      </c>
      <c r="AE58" s="1" t="str">
        <f t="shared" si="8"/>
        <v/>
      </c>
      <c r="AF58" s="1" t="str">
        <f t="shared" si="8"/>
        <v/>
      </c>
    </row>
    <row r="59" spans="6:32" x14ac:dyDescent="0.2">
      <c r="F59" t="str">
        <f t="shared" si="6"/>
        <v/>
      </c>
      <c r="H59" s="1" t="str">
        <f t="shared" si="4"/>
        <v/>
      </c>
      <c r="AE59" s="1" t="str">
        <f t="shared" si="8"/>
        <v/>
      </c>
      <c r="AF59" s="1" t="str">
        <f t="shared" si="8"/>
        <v/>
      </c>
    </row>
    <row r="60" spans="6:32" x14ac:dyDescent="0.2">
      <c r="F60" t="str">
        <f t="shared" si="6"/>
        <v/>
      </c>
      <c r="H60" s="1" t="str">
        <f t="shared" si="4"/>
        <v/>
      </c>
      <c r="AE60" s="1" t="str">
        <f t="shared" si="8"/>
        <v/>
      </c>
      <c r="AF60" s="1" t="str">
        <f t="shared" si="8"/>
        <v/>
      </c>
    </row>
    <row r="61" spans="6:32" x14ac:dyDescent="0.2">
      <c r="F61" t="str">
        <f t="shared" si="6"/>
        <v/>
      </c>
      <c r="H61" s="1" t="str">
        <f t="shared" si="4"/>
        <v/>
      </c>
      <c r="AE61" s="1" t="str">
        <f t="shared" si="8"/>
        <v/>
      </c>
      <c r="AF61" s="1" t="str">
        <f t="shared" si="8"/>
        <v/>
      </c>
    </row>
    <row r="62" spans="6:32" x14ac:dyDescent="0.2">
      <c r="F62" t="str">
        <f t="shared" si="6"/>
        <v/>
      </c>
      <c r="H62" s="1" t="str">
        <f t="shared" si="4"/>
        <v/>
      </c>
      <c r="I62" s="1" t="str">
        <f t="shared" ref="I62:AD62" si="9">IF(OR(I$21="",$G62=""),"",H62)</f>
        <v/>
      </c>
      <c r="J62" s="1" t="str">
        <f t="shared" si="9"/>
        <v/>
      </c>
      <c r="K62" s="1" t="str">
        <f t="shared" si="9"/>
        <v/>
      </c>
      <c r="L62" s="1" t="str">
        <f t="shared" si="9"/>
        <v/>
      </c>
      <c r="M62" s="1" t="str">
        <f t="shared" si="9"/>
        <v/>
      </c>
      <c r="N62" s="1" t="str">
        <f t="shared" si="9"/>
        <v/>
      </c>
      <c r="O62" s="1" t="str">
        <f t="shared" si="9"/>
        <v/>
      </c>
      <c r="P62" s="1" t="str">
        <f t="shared" si="9"/>
        <v/>
      </c>
      <c r="Q62" s="1" t="str">
        <f t="shared" si="9"/>
        <v/>
      </c>
      <c r="R62" s="1" t="str">
        <f t="shared" si="9"/>
        <v/>
      </c>
      <c r="S62" s="1" t="str">
        <f t="shared" si="9"/>
        <v/>
      </c>
      <c r="T62" s="1" t="str">
        <f t="shared" si="9"/>
        <v/>
      </c>
      <c r="U62" s="1" t="str">
        <f t="shared" si="9"/>
        <v/>
      </c>
      <c r="V62" s="1" t="str">
        <f t="shared" si="9"/>
        <v/>
      </c>
      <c r="W62" s="1" t="str">
        <f t="shared" si="9"/>
        <v/>
      </c>
      <c r="X62" s="1" t="str">
        <f t="shared" si="9"/>
        <v/>
      </c>
      <c r="Y62" s="1" t="str">
        <f t="shared" si="9"/>
        <v/>
      </c>
      <c r="Z62" s="1" t="str">
        <f t="shared" si="9"/>
        <v/>
      </c>
      <c r="AA62" s="1" t="str">
        <f t="shared" si="9"/>
        <v/>
      </c>
      <c r="AB62" s="1" t="str">
        <f t="shared" si="9"/>
        <v/>
      </c>
      <c r="AC62" s="1" t="str">
        <f t="shared" si="9"/>
        <v/>
      </c>
      <c r="AD62" s="1" t="str">
        <f t="shared" si="9"/>
        <v/>
      </c>
      <c r="AE62" s="1" t="str">
        <f t="shared" si="8"/>
        <v/>
      </c>
      <c r="AF62" s="1" t="str">
        <f t="shared" si="8"/>
        <v/>
      </c>
    </row>
    <row r="63" spans="6:32" x14ac:dyDescent="0.2">
      <c r="F63" t="str">
        <f t="shared" si="6"/>
        <v/>
      </c>
      <c r="H63" s="1" t="str">
        <f t="shared" si="4"/>
        <v/>
      </c>
      <c r="I63" s="1" t="str">
        <f t="shared" ref="I63:AD63" si="10">IF(OR(I$21="",$G63=""),"",H63)</f>
        <v/>
      </c>
      <c r="J63" s="1" t="str">
        <f t="shared" si="10"/>
        <v/>
      </c>
      <c r="K63" s="1" t="str">
        <f t="shared" si="10"/>
        <v/>
      </c>
      <c r="L63" s="1" t="str">
        <f t="shared" si="10"/>
        <v/>
      </c>
      <c r="M63" s="1" t="str">
        <f t="shared" si="10"/>
        <v/>
      </c>
      <c r="N63" s="1" t="str">
        <f t="shared" si="10"/>
        <v/>
      </c>
      <c r="O63" s="1" t="str">
        <f t="shared" si="10"/>
        <v/>
      </c>
      <c r="P63" s="1" t="str">
        <f t="shared" si="10"/>
        <v/>
      </c>
      <c r="Q63" s="1" t="str">
        <f t="shared" si="10"/>
        <v/>
      </c>
      <c r="R63" s="1" t="str">
        <f t="shared" si="10"/>
        <v/>
      </c>
      <c r="S63" s="1" t="str">
        <f t="shared" si="10"/>
        <v/>
      </c>
      <c r="T63" s="1" t="str">
        <f t="shared" si="10"/>
        <v/>
      </c>
      <c r="U63" s="1" t="str">
        <f t="shared" si="10"/>
        <v/>
      </c>
      <c r="V63" s="1" t="str">
        <f t="shared" si="10"/>
        <v/>
      </c>
      <c r="W63" s="1" t="str">
        <f t="shared" si="10"/>
        <v/>
      </c>
      <c r="X63" s="1" t="str">
        <f t="shared" si="10"/>
        <v/>
      </c>
      <c r="Y63" s="1" t="str">
        <f t="shared" si="10"/>
        <v/>
      </c>
      <c r="Z63" s="1" t="str">
        <f t="shared" si="10"/>
        <v/>
      </c>
      <c r="AA63" s="1" t="str">
        <f t="shared" si="10"/>
        <v/>
      </c>
      <c r="AB63" s="1" t="str">
        <f t="shared" si="10"/>
        <v/>
      </c>
      <c r="AC63" s="1" t="str">
        <f t="shared" si="10"/>
        <v/>
      </c>
      <c r="AD63" s="1" t="str">
        <f t="shared" si="10"/>
        <v/>
      </c>
      <c r="AE63" s="1" t="str">
        <f t="shared" si="8"/>
        <v/>
      </c>
      <c r="AF63" s="1" t="str">
        <f t="shared" si="8"/>
        <v/>
      </c>
    </row>
    <row r="64" spans="6:32" x14ac:dyDescent="0.2">
      <c r="F64" t="s">
        <v>7</v>
      </c>
      <c r="H64" s="1" t="str">
        <f t="shared" si="4"/>
        <v/>
      </c>
      <c r="AE64" s="1" t="str">
        <f t="shared" si="8"/>
        <v/>
      </c>
      <c r="AF64" s="1" t="str">
        <f t="shared" si="8"/>
        <v/>
      </c>
    </row>
    <row r="65" spans="6:32" x14ac:dyDescent="0.2">
      <c r="F65" t="s">
        <v>8</v>
      </c>
      <c r="H65" s="1" t="str">
        <f t="shared" si="4"/>
        <v/>
      </c>
      <c r="AE65" s="1" t="str">
        <f t="shared" si="8"/>
        <v/>
      </c>
      <c r="AF65" s="1" t="str">
        <f t="shared" si="8"/>
        <v/>
      </c>
    </row>
    <row r="66" spans="6:32" x14ac:dyDescent="0.2">
      <c r="F66" t="s">
        <v>9</v>
      </c>
      <c r="H66" s="1" t="str">
        <f t="shared" si="4"/>
        <v/>
      </c>
    </row>
    <row r="71" spans="6:32" x14ac:dyDescent="0.2">
      <c r="F71" t="str">
        <f>IF(C71&lt;&gt;"","Planned","")</f>
        <v/>
      </c>
    </row>
  </sheetData>
  <mergeCells count="3">
    <mergeCell ref="D3:H3"/>
    <mergeCell ref="D4:H4"/>
    <mergeCell ref="D5:H5"/>
  </mergeCells>
  <conditionalFormatting sqref="C26:AF65 L22:AF25">
    <cfRule type="expression" dxfId="11" priority="1" stopIfTrue="1">
      <formula>$F22="Done"</formula>
    </cfRule>
    <cfRule type="expression" dxfId="10" priority="2" stopIfTrue="1">
      <formula>$F22="Ongoing"</formula>
    </cfRule>
  </conditionalFormatting>
  <conditionalFormatting sqref="B22:AF65">
    <cfRule type="expression" dxfId="9" priority="3" stopIfTrue="1">
      <formula>$F22="Terminado"</formula>
    </cfRule>
    <cfRule type="expression" dxfId="8" priority="4" stopIfTrue="1">
      <formula>$F22="En Progreso"</formula>
    </cfRule>
  </conditionalFormatting>
  <dataValidations count="1">
    <dataValidation type="list" allowBlank="1" showInputMessage="1" sqref="F22:F71 F10:F15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B1:AF71"/>
  <sheetViews>
    <sheetView workbookViewId="0">
      <selection activeCell="D3" sqref="D3:H3"/>
    </sheetView>
  </sheetViews>
  <sheetFormatPr baseColWidth="10" defaultColWidth="9.140625" defaultRowHeight="12.75" x14ac:dyDescent="0.2"/>
  <cols>
    <col min="1" max="1" width="3.28515625" customWidth="1"/>
    <col min="2" max="2" width="9.140625" customWidth="1"/>
    <col min="3" max="3" width="38.42578125" customWidth="1"/>
    <col min="4" max="4" width="10.7109375" style="1" customWidth="1"/>
    <col min="5" max="5" width="13.7109375" customWidth="1"/>
    <col min="6" max="6" width="10.85546875" customWidth="1"/>
    <col min="7" max="7" width="9.5703125" style="1" customWidth="1"/>
    <col min="8" max="32" width="4.42578125" style="1" customWidth="1"/>
  </cols>
  <sheetData>
    <row r="1" spans="2:32" ht="13.5" thickBot="1" x14ac:dyDescent="0.25"/>
    <row r="2" spans="2:32" ht="10.5" customHeight="1" x14ac:dyDescent="0.2">
      <c r="B2" s="16"/>
      <c r="C2" s="17"/>
      <c r="D2" s="18"/>
      <c r="E2" s="19"/>
      <c r="F2" s="19"/>
      <c r="G2" s="19"/>
      <c r="H2" s="19"/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8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pans="2:32" ht="15" customHeight="1" x14ac:dyDescent="0.2">
      <c r="B3" s="21"/>
      <c r="C3" s="14" t="s">
        <v>32</v>
      </c>
      <c r="D3" s="37"/>
      <c r="E3" s="37"/>
      <c r="F3" s="37"/>
      <c r="G3" s="37"/>
      <c r="H3" s="37"/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3"/>
      <c r="W3" s="15"/>
      <c r="X3" s="15"/>
      <c r="Y3" s="15"/>
      <c r="Z3" s="15"/>
      <c r="AA3" s="15"/>
      <c r="AB3" s="15"/>
      <c r="AC3" s="15"/>
      <c r="AD3" s="15"/>
      <c r="AE3" s="15"/>
      <c r="AF3" s="22"/>
    </row>
    <row r="4" spans="2:32" ht="15" customHeight="1" x14ac:dyDescent="0.2">
      <c r="B4" s="21"/>
      <c r="C4" s="14" t="s">
        <v>33</v>
      </c>
      <c r="D4" s="37"/>
      <c r="E4" s="37"/>
      <c r="F4" s="37"/>
      <c r="G4" s="37"/>
      <c r="H4" s="37"/>
      <c r="I4" s="13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3"/>
      <c r="W4" s="15"/>
      <c r="X4" s="15"/>
      <c r="Y4" s="15"/>
      <c r="Z4" s="15"/>
      <c r="AA4" s="15"/>
      <c r="AB4" s="15"/>
      <c r="AC4" s="15"/>
      <c r="AD4" s="15"/>
      <c r="AE4" s="15"/>
      <c r="AF4" s="22"/>
    </row>
    <row r="5" spans="2:32" ht="15" customHeight="1" x14ac:dyDescent="0.2">
      <c r="B5" s="21"/>
      <c r="C5" s="14" t="s">
        <v>34</v>
      </c>
      <c r="D5" s="37"/>
      <c r="E5" s="37"/>
      <c r="F5" s="37"/>
      <c r="G5" s="37"/>
      <c r="H5" s="37"/>
      <c r="I5" s="1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3"/>
      <c r="W5" s="15"/>
      <c r="X5" s="15"/>
      <c r="Y5" s="15"/>
      <c r="Z5" s="15"/>
      <c r="AA5" s="15"/>
      <c r="AB5" s="15"/>
      <c r="AC5" s="15"/>
      <c r="AD5" s="15"/>
      <c r="AE5" s="15"/>
      <c r="AF5" s="22"/>
    </row>
    <row r="6" spans="2:32" ht="15" customHeight="1" thickBot="1" x14ac:dyDescent="0.25">
      <c r="B6" s="23"/>
      <c r="C6" s="24"/>
      <c r="D6" s="25"/>
      <c r="E6" s="25"/>
      <c r="F6" s="25"/>
      <c r="G6" s="25"/>
      <c r="H6" s="25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6"/>
      <c r="W6" s="27"/>
      <c r="X6" s="27"/>
      <c r="Y6" s="27"/>
      <c r="Z6" s="27"/>
      <c r="AA6" s="27"/>
      <c r="AB6" s="27"/>
      <c r="AC6" s="27"/>
      <c r="AD6" s="27"/>
      <c r="AE6" s="27"/>
      <c r="AF6" s="28"/>
    </row>
    <row r="8" spans="2:32" ht="18" x14ac:dyDescent="0.25">
      <c r="C8" s="9">
        <v>2</v>
      </c>
      <c r="D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2:32" x14ac:dyDescent="0.2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6" spans="2:32" x14ac:dyDescent="0.2">
      <c r="B16" s="5"/>
      <c r="C16" s="5" t="s">
        <v>11</v>
      </c>
      <c r="D16" s="10">
        <v>10</v>
      </c>
      <c r="E16" s="5"/>
      <c r="F16" s="3"/>
      <c r="G16" s="7" t="s">
        <v>19</v>
      </c>
      <c r="H16" s="7" t="s">
        <v>20</v>
      </c>
      <c r="I16" s="7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2:32" x14ac:dyDescent="0.2">
      <c r="B17" s="5"/>
      <c r="C17" s="5" t="s">
        <v>12</v>
      </c>
      <c r="D17" s="10">
        <v>10</v>
      </c>
      <c r="E17" s="5" t="s">
        <v>13</v>
      </c>
      <c r="F17" s="5" t="s">
        <v>17</v>
      </c>
      <c r="G17" s="4">
        <f ca="1">SUM(OFFSET(G21,1,0,TaskRows,1))</f>
        <v>62</v>
      </c>
      <c r="H17" s="4">
        <f ca="1">IF(AND(SUM(OFFSET(H21,1,0,TaskRows,1))=0),0,SUM(OFFSET(H21,1,0,TaskRows,1)))</f>
        <v>62</v>
      </c>
      <c r="I17" s="4">
        <f t="shared" ref="I17:AF17" ca="1" si="0">IF(AND(SUM(OFFSET(I21,1,0,TaskRows,1))=0),"",SUM(OFFSET(I21,1,0,TaskRows,1)))</f>
        <v>55</v>
      </c>
      <c r="J17" s="4">
        <f t="shared" ca="1" si="0"/>
        <v>49</v>
      </c>
      <c r="K17" s="4">
        <f t="shared" ca="1" si="0"/>
        <v>43</v>
      </c>
      <c r="L17" s="4">
        <f t="shared" ca="1" si="0"/>
        <v>34</v>
      </c>
      <c r="M17" s="4">
        <f t="shared" ca="1" si="0"/>
        <v>24</v>
      </c>
      <c r="N17" s="4">
        <f t="shared" ca="1" si="0"/>
        <v>15</v>
      </c>
      <c r="O17" s="4">
        <f t="shared" ca="1" si="0"/>
        <v>10</v>
      </c>
      <c r="P17" s="4">
        <f t="shared" ca="1" si="0"/>
        <v>6</v>
      </c>
      <c r="Q17" s="4" t="str">
        <f t="shared" ca="1" si="0"/>
        <v/>
      </c>
      <c r="R17" s="4" t="str">
        <f t="shared" ca="1" si="0"/>
        <v/>
      </c>
      <c r="S17" s="4" t="str">
        <f t="shared" ca="1" si="0"/>
        <v/>
      </c>
      <c r="T17" s="4" t="str">
        <f t="shared" ca="1" si="0"/>
        <v/>
      </c>
      <c r="U17" s="4" t="str">
        <f t="shared" ca="1" si="0"/>
        <v/>
      </c>
      <c r="V17" s="4" t="str">
        <f t="shared" ca="1" si="0"/>
        <v/>
      </c>
      <c r="W17" s="4" t="str">
        <f t="shared" ca="1" si="0"/>
        <v/>
      </c>
      <c r="X17" s="4" t="str">
        <f t="shared" ca="1" si="0"/>
        <v/>
      </c>
      <c r="Y17" s="4" t="str">
        <f t="shared" ca="1" si="0"/>
        <v/>
      </c>
      <c r="Z17" s="4" t="str">
        <f t="shared" ca="1" si="0"/>
        <v/>
      </c>
      <c r="AA17" s="4" t="str">
        <f t="shared" ca="1" si="0"/>
        <v/>
      </c>
      <c r="AB17" s="4" t="str">
        <f t="shared" ca="1" si="0"/>
        <v/>
      </c>
      <c r="AC17" s="4" t="str">
        <f t="shared" ca="1" si="0"/>
        <v/>
      </c>
      <c r="AD17" s="4" t="str">
        <f t="shared" ca="1" si="0"/>
        <v/>
      </c>
      <c r="AE17" s="4" t="str">
        <f t="shared" ca="1" si="0"/>
        <v/>
      </c>
      <c r="AF17" s="4" t="str">
        <f t="shared" ca="1" si="0"/>
        <v/>
      </c>
    </row>
    <row r="18" spans="2:32" hidden="1" x14ac:dyDescent="0.2">
      <c r="C18" t="s">
        <v>1</v>
      </c>
      <c r="D18" s="1">
        <f>IF(COUNTA(C22:C249)=0,1,COUNTA(C22:C249))</f>
        <v>4</v>
      </c>
      <c r="E18" t="s">
        <v>2</v>
      </c>
      <c r="F18" s="1">
        <f ca="1">IF(COUNTIF(H17:AF17,"&gt;0")=0,1,COUNTIF(H17:AF17,"&gt;0"))</f>
        <v>9</v>
      </c>
      <c r="H18" s="1">
        <f ca="1">IF(H21="","",$G17-$G17/($D16-1)*(H21-1))</f>
        <v>62</v>
      </c>
      <c r="I18" s="1">
        <f t="shared" ref="I18:AF18" ca="1" si="1">IF(I21="","",TotalEffort-TotalEffort/(ImplementationDays)*(I21-1))</f>
        <v>55.8</v>
      </c>
      <c r="J18" s="1">
        <f t="shared" ca="1" si="1"/>
        <v>49.6</v>
      </c>
      <c r="K18" s="1">
        <f t="shared" ca="1" si="1"/>
        <v>43.4</v>
      </c>
      <c r="L18" s="1">
        <f t="shared" ca="1" si="1"/>
        <v>37.200000000000003</v>
      </c>
      <c r="M18" s="1">
        <f t="shared" ca="1" si="1"/>
        <v>31</v>
      </c>
      <c r="N18" s="1">
        <f t="shared" ca="1" si="1"/>
        <v>24.799999999999997</v>
      </c>
      <c r="O18" s="1">
        <f t="shared" ca="1" si="1"/>
        <v>18.600000000000001</v>
      </c>
      <c r="P18" s="1">
        <f t="shared" ca="1" si="1"/>
        <v>12.399999999999999</v>
      </c>
      <c r="Q18" s="1">
        <f t="shared" ca="1" si="1"/>
        <v>6.1999999999999957</v>
      </c>
      <c r="R18" s="1" t="str">
        <f t="shared" si="1"/>
        <v/>
      </c>
      <c r="S18" s="1" t="str">
        <f t="shared" si="1"/>
        <v/>
      </c>
      <c r="T18" s="1" t="str">
        <f t="shared" si="1"/>
        <v/>
      </c>
      <c r="U18" s="1" t="str">
        <f t="shared" si="1"/>
        <v/>
      </c>
      <c r="V18" s="1" t="str">
        <f t="shared" si="1"/>
        <v/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">
      <c r="C19" s="12" t="s">
        <v>5</v>
      </c>
      <c r="D19"/>
      <c r="E19" t="s">
        <v>3</v>
      </c>
      <c r="F19" s="1"/>
      <c r="H19" s="1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62.844444444444441</v>
      </c>
      <c r="I19" s="1">
        <f t="shared" ca="1" si="2"/>
        <v>55.411111111111104</v>
      </c>
      <c r="J19" s="1">
        <f t="shared" ca="1" si="2"/>
        <v>47.977777777777774</v>
      </c>
      <c r="K19" s="1">
        <f t="shared" ca="1" si="2"/>
        <v>40.544444444444437</v>
      </c>
      <c r="L19" s="1">
        <f t="shared" ca="1" si="2"/>
        <v>33.111111111111107</v>
      </c>
      <c r="M19" s="1">
        <f t="shared" ca="1" si="2"/>
        <v>25.677777777777777</v>
      </c>
      <c r="N19" s="1">
        <f t="shared" ca="1" si="2"/>
        <v>18.24444444444444</v>
      </c>
      <c r="O19" s="1">
        <f t="shared" ca="1" si="2"/>
        <v>10.81111111111111</v>
      </c>
      <c r="P19" s="1">
        <f t="shared" ca="1" si="2"/>
        <v>3.37777777777778</v>
      </c>
      <c r="Q19" s="1" t="str">
        <f t="shared" ca="1" si="2"/>
        <v/>
      </c>
      <c r="R19" s="1" t="str">
        <f t="shared" ca="1" si="2"/>
        <v/>
      </c>
      <c r="S19" s="1" t="str">
        <f t="shared" ca="1" si="2"/>
        <v/>
      </c>
      <c r="T19" s="1" t="str">
        <f t="shared" ca="1" si="2"/>
        <v/>
      </c>
      <c r="U19" s="1" t="str">
        <f t="shared" ca="1" si="2"/>
        <v/>
      </c>
      <c r="V19" s="1" t="str">
        <f t="shared" ca="1" si="2"/>
        <v/>
      </c>
      <c r="W19" s="1" t="str">
        <f t="shared" ca="1" si="2"/>
        <v/>
      </c>
      <c r="X19" s="1" t="str">
        <f t="shared" ca="1" si="2"/>
        <v/>
      </c>
      <c r="Y19" s="1" t="str">
        <f t="shared" ca="1" si="2"/>
        <v/>
      </c>
      <c r="Z19" s="1" t="str">
        <f t="shared" ca="1" si="2"/>
        <v/>
      </c>
      <c r="AA19" s="1" t="str">
        <f t="shared" ca="1" si="2"/>
        <v/>
      </c>
      <c r="AB19" s="1" t="str">
        <f t="shared" ca="1" si="2"/>
        <v/>
      </c>
      <c r="AC19" s="1" t="str">
        <f t="shared" ca="1" si="2"/>
        <v/>
      </c>
      <c r="AD19" s="1" t="str">
        <f t="shared" ca="1" si="2"/>
        <v/>
      </c>
      <c r="AE19" s="1" t="str">
        <f t="shared" ca="1" si="2"/>
        <v/>
      </c>
      <c r="AF19" s="1" t="str">
        <f t="shared" ca="1" si="2"/>
        <v/>
      </c>
    </row>
    <row r="20" spans="2:32" hidden="1" x14ac:dyDescent="0.2">
      <c r="C20" s="12" t="s">
        <v>6</v>
      </c>
      <c r="D20"/>
      <c r="E20" t="s">
        <v>4</v>
      </c>
      <c r="F20" s="1">
        <f ca="1">IF(DoneDays&gt;D17,D17,DoneDays)</f>
        <v>9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">
      <c r="B21" s="5" t="s">
        <v>10</v>
      </c>
      <c r="C21" s="6" t="s">
        <v>14</v>
      </c>
      <c r="D21" s="6" t="s">
        <v>15</v>
      </c>
      <c r="E21" s="6" t="s">
        <v>16</v>
      </c>
      <c r="F21" s="6" t="s">
        <v>18</v>
      </c>
      <c r="G21" s="6" t="s">
        <v>0</v>
      </c>
      <c r="H21" s="6">
        <v>1</v>
      </c>
      <c r="I21" s="6">
        <f t="shared" ref="I21:AF21" si="3">IF($D$16&gt;H21,H21+1,"")</f>
        <v>2</v>
      </c>
      <c r="J21" s="6">
        <f t="shared" si="3"/>
        <v>3</v>
      </c>
      <c r="K21" s="6">
        <f t="shared" si="3"/>
        <v>4</v>
      </c>
      <c r="L21" s="6">
        <f t="shared" si="3"/>
        <v>5</v>
      </c>
      <c r="M21" s="6">
        <f t="shared" si="3"/>
        <v>6</v>
      </c>
      <c r="N21" s="6">
        <f t="shared" si="3"/>
        <v>7</v>
      </c>
      <c r="O21" s="6">
        <f t="shared" si="3"/>
        <v>8</v>
      </c>
      <c r="P21" s="6">
        <f t="shared" si="3"/>
        <v>9</v>
      </c>
      <c r="Q21" s="6">
        <f t="shared" si="3"/>
        <v>10</v>
      </c>
      <c r="R21" s="6" t="str">
        <f t="shared" si="3"/>
        <v/>
      </c>
      <c r="S21" s="6" t="str">
        <f t="shared" si="3"/>
        <v/>
      </c>
      <c r="T21" s="6" t="str">
        <f t="shared" si="3"/>
        <v/>
      </c>
      <c r="U21" s="6" t="str">
        <f t="shared" si="3"/>
        <v/>
      </c>
      <c r="V21" s="6" t="str">
        <f t="shared" si="3"/>
        <v/>
      </c>
      <c r="W21" s="6" t="str">
        <f t="shared" si="3"/>
        <v/>
      </c>
      <c r="X21" s="6" t="str">
        <f t="shared" si="3"/>
        <v/>
      </c>
      <c r="Y21" s="6" t="str">
        <f t="shared" si="3"/>
        <v/>
      </c>
      <c r="Z21" s="6" t="str">
        <f t="shared" si="3"/>
        <v/>
      </c>
      <c r="AA21" s="6" t="str">
        <f t="shared" si="3"/>
        <v/>
      </c>
      <c r="AB21" s="6" t="str">
        <f t="shared" si="3"/>
        <v/>
      </c>
      <c r="AC21" s="6" t="str">
        <f t="shared" si="3"/>
        <v/>
      </c>
      <c r="AD21" s="6" t="str">
        <f t="shared" si="3"/>
        <v/>
      </c>
      <c r="AE21" s="6" t="str">
        <f t="shared" si="3"/>
        <v/>
      </c>
      <c r="AF21" s="6" t="str">
        <f t="shared" si="3"/>
        <v/>
      </c>
    </row>
    <row r="22" spans="2:32" x14ac:dyDescent="0.2">
      <c r="B22">
        <v>1.1000000000000001</v>
      </c>
      <c r="C22" t="s">
        <v>24</v>
      </c>
      <c r="D22" s="1">
        <v>1</v>
      </c>
      <c r="E22" t="s">
        <v>28</v>
      </c>
      <c r="F22" t="s">
        <v>21</v>
      </c>
      <c r="G22" s="1">
        <v>15</v>
      </c>
      <c r="H22" s="1">
        <f t="shared" ref="H22:H66" si="4">IF(OR(H$21="",$G22=""),"",G22)</f>
        <v>15</v>
      </c>
      <c r="I22" s="1">
        <v>13</v>
      </c>
      <c r="J22" s="1">
        <v>11</v>
      </c>
      <c r="K22" s="1">
        <v>9</v>
      </c>
      <c r="L22" s="1">
        <v>7</v>
      </c>
      <c r="M22" s="1">
        <v>5</v>
      </c>
      <c r="N22" s="1">
        <v>3</v>
      </c>
      <c r="O22" s="1">
        <v>2</v>
      </c>
      <c r="P22" s="1">
        <v>1</v>
      </c>
      <c r="Q22" s="1">
        <v>0</v>
      </c>
      <c r="AE22" s="1" t="str">
        <f t="shared" ref="AE22:AF37" si="5">IF(OR(AE$21="",$G22=""),"",AD22)</f>
        <v/>
      </c>
      <c r="AF22" s="1" t="str">
        <f t="shared" si="5"/>
        <v/>
      </c>
    </row>
    <row r="23" spans="2:32" x14ac:dyDescent="0.2">
      <c r="B23">
        <v>1.2</v>
      </c>
      <c r="C23" t="s">
        <v>25</v>
      </c>
      <c r="D23" s="1">
        <v>1</v>
      </c>
      <c r="E23" t="s">
        <v>29</v>
      </c>
      <c r="F23" t="s">
        <v>22</v>
      </c>
      <c r="G23" s="1">
        <v>17</v>
      </c>
      <c r="H23" s="1">
        <f t="shared" si="4"/>
        <v>17</v>
      </c>
      <c r="I23" s="1">
        <v>15</v>
      </c>
      <c r="J23" s="1">
        <v>14</v>
      </c>
      <c r="K23" s="1">
        <v>13</v>
      </c>
      <c r="L23" s="1">
        <v>11</v>
      </c>
      <c r="M23" s="1">
        <v>8</v>
      </c>
      <c r="N23" s="1">
        <v>5</v>
      </c>
      <c r="O23" s="1">
        <v>3</v>
      </c>
      <c r="P23" s="1">
        <v>2</v>
      </c>
      <c r="Q23" s="1">
        <v>0</v>
      </c>
      <c r="AE23" s="1" t="str">
        <f t="shared" si="5"/>
        <v/>
      </c>
      <c r="AF23" s="1" t="str">
        <f t="shared" si="5"/>
        <v/>
      </c>
    </row>
    <row r="24" spans="2:32" x14ac:dyDescent="0.2">
      <c r="B24">
        <v>2.1</v>
      </c>
      <c r="C24" t="s">
        <v>26</v>
      </c>
      <c r="D24" s="1">
        <v>2</v>
      </c>
      <c r="E24" t="s">
        <v>30</v>
      </c>
      <c r="F24" t="s">
        <v>22</v>
      </c>
      <c r="G24" s="1">
        <v>12</v>
      </c>
      <c r="H24" s="1">
        <f t="shared" si="4"/>
        <v>12</v>
      </c>
      <c r="I24" s="1">
        <v>10</v>
      </c>
      <c r="J24" s="1">
        <v>9</v>
      </c>
      <c r="K24" s="1">
        <v>8</v>
      </c>
      <c r="L24" s="1">
        <v>6</v>
      </c>
      <c r="M24" s="1">
        <v>4</v>
      </c>
      <c r="N24" s="1">
        <v>3</v>
      </c>
      <c r="O24" s="1">
        <v>2</v>
      </c>
      <c r="P24" s="1">
        <v>1</v>
      </c>
      <c r="Q24" s="1">
        <v>0</v>
      </c>
      <c r="AE24" s="1" t="str">
        <f t="shared" si="5"/>
        <v/>
      </c>
      <c r="AF24" s="1" t="str">
        <f t="shared" si="5"/>
        <v/>
      </c>
    </row>
    <row r="25" spans="2:32" x14ac:dyDescent="0.2">
      <c r="B25">
        <v>2.2000000000000002</v>
      </c>
      <c r="C25" t="s">
        <v>27</v>
      </c>
      <c r="D25" s="1">
        <v>2</v>
      </c>
      <c r="E25" t="s">
        <v>31</v>
      </c>
      <c r="F25" t="s">
        <v>23</v>
      </c>
      <c r="G25" s="1">
        <v>18</v>
      </c>
      <c r="H25" s="1">
        <f t="shared" si="4"/>
        <v>18</v>
      </c>
      <c r="I25" s="1">
        <v>17</v>
      </c>
      <c r="J25" s="1">
        <v>15</v>
      </c>
      <c r="K25" s="1">
        <v>13</v>
      </c>
      <c r="L25" s="1">
        <v>10</v>
      </c>
      <c r="M25" s="1">
        <v>7</v>
      </c>
      <c r="N25" s="1">
        <v>4</v>
      </c>
      <c r="O25" s="1">
        <v>3</v>
      </c>
      <c r="P25" s="1">
        <v>2</v>
      </c>
      <c r="Q25" s="1">
        <v>0</v>
      </c>
      <c r="AE25" s="1" t="str">
        <f t="shared" si="5"/>
        <v/>
      </c>
      <c r="AF25" s="1" t="str">
        <f t="shared" si="5"/>
        <v/>
      </c>
    </row>
    <row r="26" spans="2:32" x14ac:dyDescent="0.2">
      <c r="F26" t="str">
        <f t="shared" ref="F26:F63" si="6">IF(C26&lt;&gt;"","Planned","")</f>
        <v/>
      </c>
      <c r="H26" s="1" t="str">
        <f t="shared" si="4"/>
        <v/>
      </c>
      <c r="AE26" s="1" t="str">
        <f t="shared" si="5"/>
        <v/>
      </c>
      <c r="AF26" s="1" t="str">
        <f t="shared" si="5"/>
        <v/>
      </c>
    </row>
    <row r="27" spans="2:32" x14ac:dyDescent="0.2">
      <c r="F27" t="str">
        <f t="shared" si="6"/>
        <v/>
      </c>
      <c r="H27" s="1" t="str">
        <f t="shared" si="4"/>
        <v/>
      </c>
      <c r="AE27" s="1" t="str">
        <f t="shared" si="5"/>
        <v/>
      </c>
      <c r="AF27" s="1" t="str">
        <f t="shared" si="5"/>
        <v/>
      </c>
    </row>
    <row r="28" spans="2:32" x14ac:dyDescent="0.2">
      <c r="F28" t="str">
        <f t="shared" si="6"/>
        <v/>
      </c>
      <c r="H28" s="1" t="str">
        <f t="shared" si="4"/>
        <v/>
      </c>
      <c r="AE28" s="1" t="str">
        <f t="shared" si="5"/>
        <v/>
      </c>
      <c r="AF28" s="1" t="str">
        <f t="shared" si="5"/>
        <v/>
      </c>
    </row>
    <row r="29" spans="2:32" x14ac:dyDescent="0.2">
      <c r="F29" t="str">
        <f t="shared" si="6"/>
        <v/>
      </c>
      <c r="H29" s="1" t="str">
        <f t="shared" si="4"/>
        <v/>
      </c>
      <c r="AE29" s="1" t="str">
        <f t="shared" si="5"/>
        <v/>
      </c>
      <c r="AF29" s="1" t="str">
        <f t="shared" si="5"/>
        <v/>
      </c>
    </row>
    <row r="30" spans="2:32" x14ac:dyDescent="0.2">
      <c r="F30" t="str">
        <f t="shared" si="6"/>
        <v/>
      </c>
      <c r="H30" s="1" t="str">
        <f t="shared" si="4"/>
        <v/>
      </c>
      <c r="AE30" s="1" t="str">
        <f t="shared" si="5"/>
        <v/>
      </c>
      <c r="AF30" s="1" t="str">
        <f t="shared" si="5"/>
        <v/>
      </c>
    </row>
    <row r="31" spans="2:32" x14ac:dyDescent="0.2">
      <c r="F31" t="str">
        <f t="shared" si="6"/>
        <v/>
      </c>
      <c r="H31" s="1" t="str">
        <f t="shared" si="4"/>
        <v/>
      </c>
      <c r="AE31" s="1" t="str">
        <f t="shared" si="5"/>
        <v/>
      </c>
      <c r="AF31" s="1" t="str">
        <f t="shared" si="5"/>
        <v/>
      </c>
    </row>
    <row r="32" spans="2:32" x14ac:dyDescent="0.2">
      <c r="F32" t="str">
        <f t="shared" si="6"/>
        <v/>
      </c>
      <c r="H32" s="1" t="str">
        <f t="shared" si="4"/>
        <v/>
      </c>
      <c r="AE32" s="1" t="str">
        <f t="shared" si="5"/>
        <v/>
      </c>
      <c r="AF32" s="1" t="str">
        <f t="shared" si="5"/>
        <v/>
      </c>
    </row>
    <row r="33" spans="6:32" x14ac:dyDescent="0.2">
      <c r="F33" t="str">
        <f t="shared" si="6"/>
        <v/>
      </c>
      <c r="H33" s="1" t="str">
        <f t="shared" si="4"/>
        <v/>
      </c>
      <c r="AE33" s="1" t="str">
        <f t="shared" si="5"/>
        <v/>
      </c>
      <c r="AF33" s="1" t="str">
        <f t="shared" si="5"/>
        <v/>
      </c>
    </row>
    <row r="34" spans="6:32" x14ac:dyDescent="0.2">
      <c r="F34" t="str">
        <f t="shared" si="6"/>
        <v/>
      </c>
      <c r="H34" s="1" t="str">
        <f t="shared" si="4"/>
        <v/>
      </c>
      <c r="AE34" s="1" t="str">
        <f t="shared" si="5"/>
        <v/>
      </c>
      <c r="AF34" s="1" t="str">
        <f t="shared" si="5"/>
        <v/>
      </c>
    </row>
    <row r="35" spans="6:32" x14ac:dyDescent="0.2">
      <c r="F35" t="str">
        <f t="shared" si="6"/>
        <v/>
      </c>
      <c r="H35" s="1" t="str">
        <f t="shared" si="4"/>
        <v/>
      </c>
      <c r="AE35" s="1" t="str">
        <f t="shared" si="5"/>
        <v/>
      </c>
      <c r="AF35" s="1" t="str">
        <f t="shared" si="5"/>
        <v/>
      </c>
    </row>
    <row r="36" spans="6:32" x14ac:dyDescent="0.2">
      <c r="F36" t="str">
        <f t="shared" si="6"/>
        <v/>
      </c>
      <c r="H36" s="1" t="str">
        <f t="shared" si="4"/>
        <v/>
      </c>
      <c r="AE36" s="1" t="str">
        <f t="shared" si="5"/>
        <v/>
      </c>
      <c r="AF36" s="1" t="str">
        <f t="shared" si="5"/>
        <v/>
      </c>
    </row>
    <row r="37" spans="6:32" x14ac:dyDescent="0.2">
      <c r="F37" t="str">
        <f t="shared" si="6"/>
        <v/>
      </c>
      <c r="H37" s="1" t="str">
        <f t="shared" si="4"/>
        <v/>
      </c>
      <c r="AE37" s="1" t="str">
        <f t="shared" si="5"/>
        <v/>
      </c>
      <c r="AF37" s="1" t="str">
        <f t="shared" si="5"/>
        <v/>
      </c>
    </row>
    <row r="38" spans="6:32" x14ac:dyDescent="0.2">
      <c r="F38" t="str">
        <f t="shared" si="6"/>
        <v/>
      </c>
      <c r="H38" s="1" t="str">
        <f t="shared" si="4"/>
        <v/>
      </c>
      <c r="AE38" s="1" t="str">
        <f t="shared" ref="AE38:AF53" si="7">IF(OR(AE$21="",$G38=""),"",AD38)</f>
        <v/>
      </c>
      <c r="AF38" s="1" t="str">
        <f t="shared" si="7"/>
        <v/>
      </c>
    </row>
    <row r="39" spans="6:32" x14ac:dyDescent="0.2">
      <c r="F39" t="str">
        <f t="shared" si="6"/>
        <v/>
      </c>
      <c r="H39" s="1" t="str">
        <f t="shared" si="4"/>
        <v/>
      </c>
      <c r="AE39" s="1" t="str">
        <f t="shared" si="7"/>
        <v/>
      </c>
      <c r="AF39" s="1" t="str">
        <f t="shared" si="7"/>
        <v/>
      </c>
    </row>
    <row r="40" spans="6:32" x14ac:dyDescent="0.2">
      <c r="F40" t="str">
        <f t="shared" si="6"/>
        <v/>
      </c>
      <c r="H40" s="1" t="str">
        <f t="shared" si="4"/>
        <v/>
      </c>
      <c r="AE40" s="1" t="str">
        <f t="shared" si="7"/>
        <v/>
      </c>
      <c r="AF40" s="1" t="str">
        <f t="shared" si="7"/>
        <v/>
      </c>
    </row>
    <row r="41" spans="6:32" x14ac:dyDescent="0.2">
      <c r="F41" t="str">
        <f t="shared" si="6"/>
        <v/>
      </c>
      <c r="H41" s="1" t="str">
        <f t="shared" si="4"/>
        <v/>
      </c>
      <c r="AE41" s="1" t="str">
        <f t="shared" si="7"/>
        <v/>
      </c>
      <c r="AF41" s="1" t="str">
        <f t="shared" si="7"/>
        <v/>
      </c>
    </row>
    <row r="42" spans="6:32" x14ac:dyDescent="0.2">
      <c r="F42" t="str">
        <f t="shared" si="6"/>
        <v/>
      </c>
      <c r="H42" s="1" t="str">
        <f t="shared" si="4"/>
        <v/>
      </c>
      <c r="AE42" s="1" t="str">
        <f t="shared" si="7"/>
        <v/>
      </c>
      <c r="AF42" s="1" t="str">
        <f t="shared" si="7"/>
        <v/>
      </c>
    </row>
    <row r="43" spans="6:32" x14ac:dyDescent="0.2">
      <c r="F43" t="str">
        <f t="shared" si="6"/>
        <v/>
      </c>
      <c r="H43" s="1" t="str">
        <f t="shared" si="4"/>
        <v/>
      </c>
      <c r="AE43" s="1" t="str">
        <f t="shared" si="7"/>
        <v/>
      </c>
      <c r="AF43" s="1" t="str">
        <f t="shared" si="7"/>
        <v/>
      </c>
    </row>
    <row r="44" spans="6:32" x14ac:dyDescent="0.2">
      <c r="F44" t="str">
        <f t="shared" si="6"/>
        <v/>
      </c>
      <c r="H44" s="1" t="str">
        <f t="shared" si="4"/>
        <v/>
      </c>
      <c r="AE44" s="1" t="str">
        <f t="shared" si="7"/>
        <v/>
      </c>
      <c r="AF44" s="1" t="str">
        <f t="shared" si="7"/>
        <v/>
      </c>
    </row>
    <row r="45" spans="6:32" x14ac:dyDescent="0.2">
      <c r="F45" t="str">
        <f t="shared" si="6"/>
        <v/>
      </c>
      <c r="H45" s="1" t="str">
        <f t="shared" si="4"/>
        <v/>
      </c>
      <c r="AE45" s="1" t="str">
        <f t="shared" si="7"/>
        <v/>
      </c>
      <c r="AF45" s="1" t="str">
        <f t="shared" si="7"/>
        <v/>
      </c>
    </row>
    <row r="46" spans="6:32" x14ac:dyDescent="0.2">
      <c r="F46" t="str">
        <f t="shared" si="6"/>
        <v/>
      </c>
      <c r="H46" s="1" t="str">
        <f t="shared" si="4"/>
        <v/>
      </c>
      <c r="AE46" s="1" t="str">
        <f t="shared" si="7"/>
        <v/>
      </c>
      <c r="AF46" s="1" t="str">
        <f t="shared" si="7"/>
        <v/>
      </c>
    </row>
    <row r="47" spans="6:32" x14ac:dyDescent="0.2">
      <c r="F47" t="str">
        <f t="shared" si="6"/>
        <v/>
      </c>
      <c r="H47" s="1" t="str">
        <f t="shared" si="4"/>
        <v/>
      </c>
      <c r="AE47" s="1" t="str">
        <f t="shared" si="7"/>
        <v/>
      </c>
      <c r="AF47" s="1" t="str">
        <f t="shared" si="7"/>
        <v/>
      </c>
    </row>
    <row r="48" spans="6:32" x14ac:dyDescent="0.2">
      <c r="F48" t="str">
        <f t="shared" si="6"/>
        <v/>
      </c>
      <c r="H48" s="1" t="str">
        <f t="shared" si="4"/>
        <v/>
      </c>
      <c r="AE48" s="1" t="str">
        <f t="shared" si="7"/>
        <v/>
      </c>
      <c r="AF48" s="1" t="str">
        <f t="shared" si="7"/>
        <v/>
      </c>
    </row>
    <row r="49" spans="6:32" x14ac:dyDescent="0.2">
      <c r="F49" t="str">
        <f t="shared" si="6"/>
        <v/>
      </c>
      <c r="H49" s="1" t="str">
        <f t="shared" si="4"/>
        <v/>
      </c>
      <c r="AE49" s="1" t="str">
        <f t="shared" si="7"/>
        <v/>
      </c>
      <c r="AF49" s="1" t="str">
        <f t="shared" si="7"/>
        <v/>
      </c>
    </row>
    <row r="50" spans="6:32" x14ac:dyDescent="0.2">
      <c r="F50" t="str">
        <f t="shared" si="6"/>
        <v/>
      </c>
      <c r="H50" s="1" t="str">
        <f t="shared" si="4"/>
        <v/>
      </c>
      <c r="AE50" s="1" t="str">
        <f t="shared" si="7"/>
        <v/>
      </c>
      <c r="AF50" s="1" t="str">
        <f t="shared" si="7"/>
        <v/>
      </c>
    </row>
    <row r="51" spans="6:32" x14ac:dyDescent="0.2">
      <c r="F51" t="str">
        <f t="shared" si="6"/>
        <v/>
      </c>
      <c r="H51" s="1" t="str">
        <f t="shared" si="4"/>
        <v/>
      </c>
      <c r="AE51" s="1" t="str">
        <f t="shared" si="7"/>
        <v/>
      </c>
      <c r="AF51" s="1" t="str">
        <f t="shared" si="7"/>
        <v/>
      </c>
    </row>
    <row r="52" spans="6:32" x14ac:dyDescent="0.2">
      <c r="F52" t="str">
        <f t="shared" si="6"/>
        <v/>
      </c>
      <c r="H52" s="1" t="str">
        <f t="shared" si="4"/>
        <v/>
      </c>
      <c r="AE52" s="1" t="str">
        <f t="shared" si="7"/>
        <v/>
      </c>
      <c r="AF52" s="1" t="str">
        <f t="shared" si="7"/>
        <v/>
      </c>
    </row>
    <row r="53" spans="6:32" x14ac:dyDescent="0.2">
      <c r="F53" t="str">
        <f t="shared" si="6"/>
        <v/>
      </c>
      <c r="H53" s="1" t="str">
        <f t="shared" si="4"/>
        <v/>
      </c>
      <c r="AE53" s="1" t="str">
        <f t="shared" si="7"/>
        <v/>
      </c>
      <c r="AF53" s="1" t="str">
        <f t="shared" si="7"/>
        <v/>
      </c>
    </row>
    <row r="54" spans="6:32" x14ac:dyDescent="0.2">
      <c r="F54" t="str">
        <f t="shared" si="6"/>
        <v/>
      </c>
      <c r="H54" s="1" t="str">
        <f t="shared" si="4"/>
        <v/>
      </c>
      <c r="AE54" s="1" t="str">
        <f t="shared" ref="AE54:AF65" si="8">IF(OR(AE$21="",$G54=""),"",AD54)</f>
        <v/>
      </c>
      <c r="AF54" s="1" t="str">
        <f t="shared" si="8"/>
        <v/>
      </c>
    </row>
    <row r="55" spans="6:32" x14ac:dyDescent="0.2">
      <c r="F55" t="str">
        <f t="shared" si="6"/>
        <v/>
      </c>
      <c r="H55" s="1" t="str">
        <f t="shared" si="4"/>
        <v/>
      </c>
      <c r="AE55" s="1" t="str">
        <f t="shared" si="8"/>
        <v/>
      </c>
      <c r="AF55" s="1" t="str">
        <f t="shared" si="8"/>
        <v/>
      </c>
    </row>
    <row r="56" spans="6:32" x14ac:dyDescent="0.2">
      <c r="F56" t="str">
        <f t="shared" si="6"/>
        <v/>
      </c>
      <c r="H56" s="1" t="str">
        <f t="shared" si="4"/>
        <v/>
      </c>
      <c r="AE56" s="1" t="str">
        <f t="shared" si="8"/>
        <v/>
      </c>
      <c r="AF56" s="1" t="str">
        <f t="shared" si="8"/>
        <v/>
      </c>
    </row>
    <row r="57" spans="6:32" x14ac:dyDescent="0.2">
      <c r="F57" t="str">
        <f t="shared" si="6"/>
        <v/>
      </c>
      <c r="H57" s="1" t="str">
        <f t="shared" si="4"/>
        <v/>
      </c>
      <c r="AE57" s="1" t="str">
        <f t="shared" si="8"/>
        <v/>
      </c>
      <c r="AF57" s="1" t="str">
        <f t="shared" si="8"/>
        <v/>
      </c>
    </row>
    <row r="58" spans="6:32" x14ac:dyDescent="0.2">
      <c r="F58" t="str">
        <f t="shared" si="6"/>
        <v/>
      </c>
      <c r="H58" s="1" t="str">
        <f t="shared" si="4"/>
        <v/>
      </c>
      <c r="AE58" s="1" t="str">
        <f t="shared" si="8"/>
        <v/>
      </c>
      <c r="AF58" s="1" t="str">
        <f t="shared" si="8"/>
        <v/>
      </c>
    </row>
    <row r="59" spans="6:32" x14ac:dyDescent="0.2">
      <c r="F59" t="str">
        <f t="shared" si="6"/>
        <v/>
      </c>
      <c r="H59" s="1" t="str">
        <f t="shared" si="4"/>
        <v/>
      </c>
      <c r="AE59" s="1" t="str">
        <f t="shared" si="8"/>
        <v/>
      </c>
      <c r="AF59" s="1" t="str">
        <f t="shared" si="8"/>
        <v/>
      </c>
    </row>
    <row r="60" spans="6:32" x14ac:dyDescent="0.2">
      <c r="F60" t="str">
        <f t="shared" si="6"/>
        <v/>
      </c>
      <c r="H60" s="1" t="str">
        <f t="shared" si="4"/>
        <v/>
      </c>
      <c r="AE60" s="1" t="str">
        <f t="shared" si="8"/>
        <v/>
      </c>
      <c r="AF60" s="1" t="str">
        <f t="shared" si="8"/>
        <v/>
      </c>
    </row>
    <row r="61" spans="6:32" x14ac:dyDescent="0.2">
      <c r="F61" t="str">
        <f t="shared" si="6"/>
        <v/>
      </c>
      <c r="H61" s="1" t="str">
        <f t="shared" si="4"/>
        <v/>
      </c>
      <c r="AE61" s="1" t="str">
        <f t="shared" si="8"/>
        <v/>
      </c>
      <c r="AF61" s="1" t="str">
        <f t="shared" si="8"/>
        <v/>
      </c>
    </row>
    <row r="62" spans="6:32" x14ac:dyDescent="0.2">
      <c r="F62" t="str">
        <f t="shared" si="6"/>
        <v/>
      </c>
      <c r="H62" s="1" t="str">
        <f t="shared" si="4"/>
        <v/>
      </c>
      <c r="I62" s="1" t="str">
        <f t="shared" ref="I62:AD62" si="9">IF(OR(I$21="",$G62=""),"",H62)</f>
        <v/>
      </c>
      <c r="J62" s="1" t="str">
        <f t="shared" si="9"/>
        <v/>
      </c>
      <c r="K62" s="1" t="str">
        <f t="shared" si="9"/>
        <v/>
      </c>
      <c r="L62" s="1" t="str">
        <f t="shared" si="9"/>
        <v/>
      </c>
      <c r="M62" s="1" t="str">
        <f t="shared" si="9"/>
        <v/>
      </c>
      <c r="N62" s="1" t="str">
        <f t="shared" si="9"/>
        <v/>
      </c>
      <c r="O62" s="1" t="str">
        <f t="shared" si="9"/>
        <v/>
      </c>
      <c r="P62" s="1" t="str">
        <f t="shared" si="9"/>
        <v/>
      </c>
      <c r="Q62" s="1" t="str">
        <f t="shared" si="9"/>
        <v/>
      </c>
      <c r="R62" s="1" t="str">
        <f t="shared" si="9"/>
        <v/>
      </c>
      <c r="S62" s="1" t="str">
        <f t="shared" si="9"/>
        <v/>
      </c>
      <c r="T62" s="1" t="str">
        <f t="shared" si="9"/>
        <v/>
      </c>
      <c r="U62" s="1" t="str">
        <f t="shared" si="9"/>
        <v/>
      </c>
      <c r="V62" s="1" t="str">
        <f t="shared" si="9"/>
        <v/>
      </c>
      <c r="W62" s="1" t="str">
        <f t="shared" si="9"/>
        <v/>
      </c>
      <c r="X62" s="1" t="str">
        <f t="shared" si="9"/>
        <v/>
      </c>
      <c r="Y62" s="1" t="str">
        <f t="shared" si="9"/>
        <v/>
      </c>
      <c r="Z62" s="1" t="str">
        <f t="shared" si="9"/>
        <v/>
      </c>
      <c r="AA62" s="1" t="str">
        <f t="shared" si="9"/>
        <v/>
      </c>
      <c r="AB62" s="1" t="str">
        <f t="shared" si="9"/>
        <v/>
      </c>
      <c r="AC62" s="1" t="str">
        <f t="shared" si="9"/>
        <v/>
      </c>
      <c r="AD62" s="1" t="str">
        <f t="shared" si="9"/>
        <v/>
      </c>
      <c r="AE62" s="1" t="str">
        <f t="shared" si="8"/>
        <v/>
      </c>
      <c r="AF62" s="1" t="str">
        <f t="shared" si="8"/>
        <v/>
      </c>
    </row>
    <row r="63" spans="6:32" x14ac:dyDescent="0.2">
      <c r="F63" t="str">
        <f t="shared" si="6"/>
        <v/>
      </c>
      <c r="H63" s="1" t="str">
        <f t="shared" si="4"/>
        <v/>
      </c>
      <c r="I63" s="1" t="str">
        <f t="shared" ref="I63:AD63" si="10">IF(OR(I$21="",$G63=""),"",H63)</f>
        <v/>
      </c>
      <c r="J63" s="1" t="str">
        <f t="shared" si="10"/>
        <v/>
      </c>
      <c r="K63" s="1" t="str">
        <f t="shared" si="10"/>
        <v/>
      </c>
      <c r="L63" s="1" t="str">
        <f t="shared" si="10"/>
        <v/>
      </c>
      <c r="M63" s="1" t="str">
        <f t="shared" si="10"/>
        <v/>
      </c>
      <c r="N63" s="1" t="str">
        <f t="shared" si="10"/>
        <v/>
      </c>
      <c r="O63" s="1" t="str">
        <f t="shared" si="10"/>
        <v/>
      </c>
      <c r="P63" s="1" t="str">
        <f t="shared" si="10"/>
        <v/>
      </c>
      <c r="Q63" s="1" t="str">
        <f t="shared" si="10"/>
        <v/>
      </c>
      <c r="R63" s="1" t="str">
        <f t="shared" si="10"/>
        <v/>
      </c>
      <c r="S63" s="1" t="str">
        <f t="shared" si="10"/>
        <v/>
      </c>
      <c r="T63" s="1" t="str">
        <f t="shared" si="10"/>
        <v/>
      </c>
      <c r="U63" s="1" t="str">
        <f t="shared" si="10"/>
        <v/>
      </c>
      <c r="V63" s="1" t="str">
        <f t="shared" si="10"/>
        <v/>
      </c>
      <c r="W63" s="1" t="str">
        <f t="shared" si="10"/>
        <v/>
      </c>
      <c r="X63" s="1" t="str">
        <f t="shared" si="10"/>
        <v/>
      </c>
      <c r="Y63" s="1" t="str">
        <f t="shared" si="10"/>
        <v/>
      </c>
      <c r="Z63" s="1" t="str">
        <f t="shared" si="10"/>
        <v/>
      </c>
      <c r="AA63" s="1" t="str">
        <f t="shared" si="10"/>
        <v/>
      </c>
      <c r="AB63" s="1" t="str">
        <f t="shared" si="10"/>
        <v/>
      </c>
      <c r="AC63" s="1" t="str">
        <f t="shared" si="10"/>
        <v/>
      </c>
      <c r="AD63" s="1" t="str">
        <f t="shared" si="10"/>
        <v/>
      </c>
      <c r="AE63" s="1" t="str">
        <f t="shared" si="8"/>
        <v/>
      </c>
      <c r="AF63" s="1" t="str">
        <f t="shared" si="8"/>
        <v/>
      </c>
    </row>
    <row r="64" spans="6:32" x14ac:dyDescent="0.2">
      <c r="F64" t="s">
        <v>7</v>
      </c>
      <c r="H64" s="1" t="str">
        <f t="shared" si="4"/>
        <v/>
      </c>
      <c r="AE64" s="1" t="str">
        <f t="shared" si="8"/>
        <v/>
      </c>
      <c r="AF64" s="1" t="str">
        <f t="shared" si="8"/>
        <v/>
      </c>
    </row>
    <row r="65" spans="2:32" x14ac:dyDescent="0.2">
      <c r="F65" t="s">
        <v>8</v>
      </c>
      <c r="H65" s="1" t="str">
        <f t="shared" si="4"/>
        <v/>
      </c>
      <c r="AE65" s="1" t="str">
        <f t="shared" si="8"/>
        <v/>
      </c>
      <c r="AF65" s="1" t="str">
        <f t="shared" si="8"/>
        <v/>
      </c>
    </row>
    <row r="66" spans="2:32" x14ac:dyDescent="0.2">
      <c r="F66" t="s">
        <v>9</v>
      </c>
      <c r="H66" s="1" t="str">
        <f t="shared" si="4"/>
        <v/>
      </c>
    </row>
    <row r="71" spans="2:32" s="1" customFormat="1" x14ac:dyDescent="0.2">
      <c r="B71"/>
      <c r="C71"/>
      <c r="E71"/>
      <c r="F71" t="str">
        <f>IF(C71&lt;&gt;"","Planned","")</f>
        <v/>
      </c>
    </row>
  </sheetData>
  <mergeCells count="3">
    <mergeCell ref="D3:H3"/>
    <mergeCell ref="D4:H4"/>
    <mergeCell ref="D5:H5"/>
  </mergeCells>
  <conditionalFormatting sqref="C26:AF65 L22:AF25">
    <cfRule type="expression" dxfId="7" priority="1" stopIfTrue="1">
      <formula>$F22="Done"</formula>
    </cfRule>
    <cfRule type="expression" dxfId="6" priority="2" stopIfTrue="1">
      <formula>$F22="Ongoing"</formula>
    </cfRule>
  </conditionalFormatting>
  <conditionalFormatting sqref="B22:AF65">
    <cfRule type="expression" dxfId="5" priority="3" stopIfTrue="1">
      <formula>$F22="Terminado"</formula>
    </cfRule>
    <cfRule type="expression" dxfId="4" priority="4" stopIfTrue="1">
      <formula>$F22="En Progreso"</formula>
    </cfRule>
  </conditionalFormatting>
  <dataValidations count="1">
    <dataValidation type="list" allowBlank="1" showInputMessage="1" sqref="F22:F71 F10:F15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B1:AF71"/>
  <sheetViews>
    <sheetView workbookViewId="0">
      <selection activeCell="D3" sqref="D3:H3"/>
    </sheetView>
  </sheetViews>
  <sheetFormatPr baseColWidth="10" defaultColWidth="9.140625" defaultRowHeight="12.75" x14ac:dyDescent="0.2"/>
  <cols>
    <col min="1" max="1" width="3.28515625" customWidth="1"/>
    <col min="2" max="2" width="9.140625" customWidth="1"/>
    <col min="3" max="3" width="38.42578125" customWidth="1"/>
    <col min="4" max="4" width="10.7109375" style="1" customWidth="1"/>
    <col min="5" max="5" width="13.7109375" customWidth="1"/>
    <col min="6" max="6" width="10.85546875" customWidth="1"/>
    <col min="7" max="7" width="9.5703125" style="1" customWidth="1"/>
    <col min="8" max="32" width="4.42578125" style="1" customWidth="1"/>
  </cols>
  <sheetData>
    <row r="1" spans="2:32" ht="13.5" thickBot="1" x14ac:dyDescent="0.25"/>
    <row r="2" spans="2:32" ht="10.5" customHeight="1" x14ac:dyDescent="0.2">
      <c r="B2" s="16"/>
      <c r="C2" s="17"/>
      <c r="D2" s="18"/>
      <c r="E2" s="19"/>
      <c r="F2" s="19"/>
      <c r="G2" s="19"/>
      <c r="H2" s="19"/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8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pans="2:32" ht="15" customHeight="1" x14ac:dyDescent="0.2">
      <c r="B3" s="21"/>
      <c r="C3" s="14" t="s">
        <v>32</v>
      </c>
      <c r="D3" s="37"/>
      <c r="E3" s="37"/>
      <c r="F3" s="37"/>
      <c r="G3" s="37"/>
      <c r="H3" s="37"/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3"/>
      <c r="W3" s="15"/>
      <c r="X3" s="15"/>
      <c r="Y3" s="15"/>
      <c r="Z3" s="15"/>
      <c r="AA3" s="15"/>
      <c r="AB3" s="15"/>
      <c r="AC3" s="15"/>
      <c r="AD3" s="15"/>
      <c r="AE3" s="15"/>
      <c r="AF3" s="22"/>
    </row>
    <row r="4" spans="2:32" ht="15" customHeight="1" x14ac:dyDescent="0.2">
      <c r="B4" s="21"/>
      <c r="C4" s="14" t="s">
        <v>33</v>
      </c>
      <c r="D4" s="37"/>
      <c r="E4" s="37"/>
      <c r="F4" s="37"/>
      <c r="G4" s="37"/>
      <c r="H4" s="37"/>
      <c r="I4" s="13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3"/>
      <c r="W4" s="15"/>
      <c r="X4" s="15"/>
      <c r="Y4" s="15"/>
      <c r="Z4" s="15"/>
      <c r="AA4" s="15"/>
      <c r="AB4" s="15"/>
      <c r="AC4" s="15"/>
      <c r="AD4" s="15"/>
      <c r="AE4" s="15"/>
      <c r="AF4" s="22"/>
    </row>
    <row r="5" spans="2:32" ht="15" customHeight="1" x14ac:dyDescent="0.2">
      <c r="B5" s="21"/>
      <c r="C5" s="14" t="s">
        <v>34</v>
      </c>
      <c r="D5" s="37"/>
      <c r="E5" s="37"/>
      <c r="F5" s="37"/>
      <c r="G5" s="37"/>
      <c r="H5" s="37"/>
      <c r="I5" s="1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3"/>
      <c r="W5" s="15"/>
      <c r="X5" s="15"/>
      <c r="Y5" s="15"/>
      <c r="Z5" s="15"/>
      <c r="AA5" s="15"/>
      <c r="AB5" s="15"/>
      <c r="AC5" s="15"/>
      <c r="AD5" s="15"/>
      <c r="AE5" s="15"/>
      <c r="AF5" s="22"/>
    </row>
    <row r="6" spans="2:32" ht="15" customHeight="1" thickBot="1" x14ac:dyDescent="0.25">
      <c r="B6" s="23"/>
      <c r="C6" s="24"/>
      <c r="D6" s="25"/>
      <c r="E6" s="25"/>
      <c r="F6" s="25"/>
      <c r="G6" s="25"/>
      <c r="H6" s="25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6"/>
      <c r="W6" s="27"/>
      <c r="X6" s="27"/>
      <c r="Y6" s="27"/>
      <c r="Z6" s="27"/>
      <c r="AA6" s="27"/>
      <c r="AB6" s="27"/>
      <c r="AC6" s="27"/>
      <c r="AD6" s="27"/>
      <c r="AE6" s="27"/>
      <c r="AF6" s="28"/>
    </row>
    <row r="7" spans="2:32" s="33" customFormat="1" ht="10.5" customHeight="1" x14ac:dyDescent="0.2">
      <c r="B7" s="29"/>
      <c r="C7" s="30"/>
      <c r="D7" s="31"/>
      <c r="E7" s="31"/>
      <c r="F7" s="31"/>
      <c r="G7" s="31"/>
      <c r="H7" s="31"/>
      <c r="I7" s="29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29"/>
      <c r="W7" s="32"/>
      <c r="X7" s="32"/>
      <c r="Y7" s="32"/>
      <c r="Z7" s="32"/>
      <c r="AA7" s="32"/>
      <c r="AB7" s="32"/>
      <c r="AC7" s="32"/>
      <c r="AD7" s="32"/>
      <c r="AE7" s="32"/>
      <c r="AF7" s="32"/>
    </row>
    <row r="8" spans="2:32" s="33" customFormat="1" ht="18" x14ac:dyDescent="0.25">
      <c r="C8" s="34">
        <v>1</v>
      </c>
      <c r="D8" s="35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2:32" x14ac:dyDescent="0.2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6" spans="2:32" x14ac:dyDescent="0.2">
      <c r="B16" s="5"/>
      <c r="C16" s="5" t="s">
        <v>11</v>
      </c>
      <c r="D16" s="10"/>
      <c r="E16" s="5"/>
      <c r="F16" s="3"/>
      <c r="G16" s="7" t="s">
        <v>19</v>
      </c>
      <c r="H16" s="7" t="s">
        <v>20</v>
      </c>
      <c r="I16" s="7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2:32" x14ac:dyDescent="0.2">
      <c r="B17" s="5"/>
      <c r="C17" s="5" t="s">
        <v>12</v>
      </c>
      <c r="D17" s="10"/>
      <c r="E17" s="5" t="s">
        <v>13</v>
      </c>
      <c r="F17" s="5" t="s">
        <v>17</v>
      </c>
      <c r="G17" s="4">
        <f ca="1">SUM(OFFSET(G21,1,0,TaskRows,1))</f>
        <v>0</v>
      </c>
      <c r="H17" s="4">
        <f ca="1">IF(AND(SUM(OFFSET(H21,1,0,TaskRows,1))=0),0,SUM(OFFSET(H21,1,0,TaskRows,1)))</f>
        <v>0</v>
      </c>
      <c r="I17" s="4" t="str">
        <f t="shared" ref="I17:AF17" ca="1" si="0">IF(AND(SUM(OFFSET(I21,1,0,TaskRows,1))=0),"",SUM(OFFSET(I21,1,0,TaskRows,1)))</f>
        <v/>
      </c>
      <c r="J17" s="4" t="str">
        <f t="shared" ca="1" si="0"/>
        <v/>
      </c>
      <c r="K17" s="4" t="str">
        <f t="shared" ca="1" si="0"/>
        <v/>
      </c>
      <c r="L17" s="4" t="str">
        <f t="shared" ca="1" si="0"/>
        <v/>
      </c>
      <c r="M17" s="4" t="str">
        <f t="shared" ca="1" si="0"/>
        <v/>
      </c>
      <c r="N17" s="4" t="str">
        <f t="shared" ca="1" si="0"/>
        <v/>
      </c>
      <c r="O17" s="4" t="str">
        <f t="shared" ca="1" si="0"/>
        <v/>
      </c>
      <c r="P17" s="4" t="str">
        <f t="shared" ca="1" si="0"/>
        <v/>
      </c>
      <c r="Q17" s="4" t="str">
        <f t="shared" ca="1" si="0"/>
        <v/>
      </c>
      <c r="R17" s="4" t="str">
        <f t="shared" ca="1" si="0"/>
        <v/>
      </c>
      <c r="S17" s="4" t="str">
        <f t="shared" ca="1" si="0"/>
        <v/>
      </c>
      <c r="T17" s="4" t="str">
        <f t="shared" ca="1" si="0"/>
        <v/>
      </c>
      <c r="U17" s="4" t="str">
        <f t="shared" ca="1" si="0"/>
        <v/>
      </c>
      <c r="V17" s="4" t="str">
        <f t="shared" ca="1" si="0"/>
        <v/>
      </c>
      <c r="W17" s="4" t="str">
        <f t="shared" ca="1" si="0"/>
        <v/>
      </c>
      <c r="X17" s="4" t="str">
        <f t="shared" ca="1" si="0"/>
        <v/>
      </c>
      <c r="Y17" s="4" t="str">
        <f t="shared" ca="1" si="0"/>
        <v/>
      </c>
      <c r="Z17" s="4" t="str">
        <f t="shared" ca="1" si="0"/>
        <v/>
      </c>
      <c r="AA17" s="4" t="str">
        <f t="shared" ca="1" si="0"/>
        <v/>
      </c>
      <c r="AB17" s="4" t="str">
        <f t="shared" ca="1" si="0"/>
        <v/>
      </c>
      <c r="AC17" s="4" t="str">
        <f t="shared" ca="1" si="0"/>
        <v/>
      </c>
      <c r="AD17" s="4" t="str">
        <f t="shared" ca="1" si="0"/>
        <v/>
      </c>
      <c r="AE17" s="4" t="str">
        <f t="shared" ca="1" si="0"/>
        <v/>
      </c>
      <c r="AF17" s="4" t="str">
        <f t="shared" ca="1" si="0"/>
        <v/>
      </c>
    </row>
    <row r="18" spans="2:32" hidden="1" x14ac:dyDescent="0.2">
      <c r="C18" t="s">
        <v>1</v>
      </c>
      <c r="D18" s="1">
        <f>IF(COUNTA(C22:C249)=0,1,COUNTA(C22:C249))</f>
        <v>1</v>
      </c>
      <c r="E18" t="s">
        <v>2</v>
      </c>
      <c r="F18" s="1">
        <f ca="1">IF(COUNTIF(H17:AF17,"&gt;0")=0,1,COUNTIF(H17:AF17,"&gt;0"))</f>
        <v>1</v>
      </c>
      <c r="H18" s="1">
        <f ca="1">IF(H21="","",$G17-$G17/($D16-1)*(H21-1))</f>
        <v>0</v>
      </c>
      <c r="I18" s="1" t="str">
        <f t="shared" ref="I18:AF18" si="1">IF(I21="","",TotalEffort-TotalEffort/(ImplementationDays)*(I21-1))</f>
        <v/>
      </c>
      <c r="J18" s="1" t="str">
        <f t="shared" si="1"/>
        <v/>
      </c>
      <c r="K18" s="1" t="str">
        <f t="shared" si="1"/>
        <v/>
      </c>
      <c r="L18" s="1" t="str">
        <f t="shared" si="1"/>
        <v/>
      </c>
      <c r="M18" s="1" t="str">
        <f t="shared" si="1"/>
        <v/>
      </c>
      <c r="N18" s="1" t="str">
        <f t="shared" si="1"/>
        <v/>
      </c>
      <c r="O18" s="1" t="str">
        <f t="shared" si="1"/>
        <v/>
      </c>
      <c r="P18" s="1" t="str">
        <f t="shared" si="1"/>
        <v/>
      </c>
      <c r="Q18" s="1" t="str">
        <f t="shared" si="1"/>
        <v/>
      </c>
      <c r="R18" s="1" t="str">
        <f t="shared" si="1"/>
        <v/>
      </c>
      <c r="S18" s="1" t="str">
        <f t="shared" si="1"/>
        <v/>
      </c>
      <c r="T18" s="1" t="str">
        <f t="shared" si="1"/>
        <v/>
      </c>
      <c r="U18" s="1" t="str">
        <f t="shared" si="1"/>
        <v/>
      </c>
      <c r="V18" s="1" t="str">
        <f t="shared" si="1"/>
        <v/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">
      <c r="C19" s="12" t="s">
        <v>5</v>
      </c>
      <c r="D19"/>
      <c r="E19" t="s">
        <v>3</v>
      </c>
      <c r="F19" s="1"/>
      <c r="H19" s="1" t="e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#REF!</v>
      </c>
      <c r="I19" s="1" t="e">
        <f t="shared" ca="1" si="2"/>
        <v>#REF!</v>
      </c>
      <c r="J19" s="1" t="e">
        <f t="shared" ca="1" si="2"/>
        <v>#REF!</v>
      </c>
      <c r="K19" s="1" t="e">
        <f t="shared" ca="1" si="2"/>
        <v>#REF!</v>
      </c>
      <c r="L19" s="1" t="e">
        <f t="shared" ca="1" si="2"/>
        <v>#REF!</v>
      </c>
      <c r="M19" s="1" t="e">
        <f t="shared" ca="1" si="2"/>
        <v>#REF!</v>
      </c>
      <c r="N19" s="1" t="e">
        <f t="shared" ca="1" si="2"/>
        <v>#REF!</v>
      </c>
      <c r="O19" s="1" t="e">
        <f t="shared" ca="1" si="2"/>
        <v>#REF!</v>
      </c>
      <c r="P19" s="1" t="e">
        <f t="shared" ca="1" si="2"/>
        <v>#REF!</v>
      </c>
      <c r="Q19" s="1" t="e">
        <f t="shared" ca="1" si="2"/>
        <v>#REF!</v>
      </c>
      <c r="R19" s="1" t="e">
        <f t="shared" ca="1" si="2"/>
        <v>#REF!</v>
      </c>
      <c r="S19" s="1" t="e">
        <f t="shared" ca="1" si="2"/>
        <v>#REF!</v>
      </c>
      <c r="T19" s="1" t="e">
        <f t="shared" ca="1" si="2"/>
        <v>#REF!</v>
      </c>
      <c r="U19" s="1" t="e">
        <f t="shared" ca="1" si="2"/>
        <v>#REF!</v>
      </c>
      <c r="V19" s="1" t="e">
        <f t="shared" ca="1" si="2"/>
        <v>#REF!</v>
      </c>
      <c r="W19" s="1" t="e">
        <f t="shared" ca="1" si="2"/>
        <v>#REF!</v>
      </c>
      <c r="X19" s="1" t="e">
        <f t="shared" ca="1" si="2"/>
        <v>#REF!</v>
      </c>
      <c r="Y19" s="1" t="e">
        <f t="shared" ca="1" si="2"/>
        <v>#REF!</v>
      </c>
      <c r="Z19" s="1" t="e">
        <f t="shared" ca="1" si="2"/>
        <v>#REF!</v>
      </c>
      <c r="AA19" s="1" t="e">
        <f t="shared" ca="1" si="2"/>
        <v>#REF!</v>
      </c>
      <c r="AB19" s="1" t="e">
        <f t="shared" ca="1" si="2"/>
        <v>#REF!</v>
      </c>
      <c r="AC19" s="1" t="e">
        <f t="shared" ca="1" si="2"/>
        <v>#REF!</v>
      </c>
      <c r="AD19" s="1" t="e">
        <f t="shared" ca="1" si="2"/>
        <v>#REF!</v>
      </c>
      <c r="AE19" s="1" t="e">
        <f t="shared" ca="1" si="2"/>
        <v>#REF!</v>
      </c>
      <c r="AF19" s="1" t="e">
        <f t="shared" ca="1" si="2"/>
        <v>#REF!</v>
      </c>
    </row>
    <row r="20" spans="2:32" hidden="1" x14ac:dyDescent="0.2">
      <c r="C20" s="12" t="s">
        <v>6</v>
      </c>
      <c r="D20"/>
      <c r="E20" t="s">
        <v>4</v>
      </c>
      <c r="F20" s="1">
        <f ca="1">IF(DoneDays&gt;D17,D17,DoneDays)</f>
        <v>0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">
      <c r="B21" s="5" t="s">
        <v>10</v>
      </c>
      <c r="C21" s="6" t="s">
        <v>14</v>
      </c>
      <c r="D21" s="6" t="s">
        <v>15</v>
      </c>
      <c r="E21" s="6" t="s">
        <v>16</v>
      </c>
      <c r="F21" s="6" t="s">
        <v>18</v>
      </c>
      <c r="G21" s="6" t="s">
        <v>0</v>
      </c>
      <c r="H21" s="6">
        <v>1</v>
      </c>
      <c r="I21" s="6" t="str">
        <f t="shared" ref="I21:AF21" si="3">IF($D$16&gt;H21,H21+1,"")</f>
        <v/>
      </c>
      <c r="J21" s="6" t="str">
        <f t="shared" si="3"/>
        <v/>
      </c>
      <c r="K21" s="6" t="str">
        <f t="shared" si="3"/>
        <v/>
      </c>
      <c r="L21" s="6" t="str">
        <f t="shared" si="3"/>
        <v/>
      </c>
      <c r="M21" s="6" t="str">
        <f t="shared" si="3"/>
        <v/>
      </c>
      <c r="N21" s="6" t="str">
        <f t="shared" si="3"/>
        <v/>
      </c>
      <c r="O21" s="6" t="str">
        <f t="shared" si="3"/>
        <v/>
      </c>
      <c r="P21" s="6" t="str">
        <f t="shared" si="3"/>
        <v/>
      </c>
      <c r="Q21" s="6" t="str">
        <f t="shared" si="3"/>
        <v/>
      </c>
      <c r="R21" s="6" t="str">
        <f t="shared" si="3"/>
        <v/>
      </c>
      <c r="S21" s="6" t="str">
        <f t="shared" si="3"/>
        <v/>
      </c>
      <c r="T21" s="6" t="str">
        <f t="shared" si="3"/>
        <v/>
      </c>
      <c r="U21" s="6" t="str">
        <f t="shared" si="3"/>
        <v/>
      </c>
      <c r="V21" s="6" t="str">
        <f t="shared" si="3"/>
        <v/>
      </c>
      <c r="W21" s="6" t="str">
        <f t="shared" si="3"/>
        <v/>
      </c>
      <c r="X21" s="6" t="str">
        <f t="shared" si="3"/>
        <v/>
      </c>
      <c r="Y21" s="6" t="str">
        <f t="shared" si="3"/>
        <v/>
      </c>
      <c r="Z21" s="6" t="str">
        <f t="shared" si="3"/>
        <v/>
      </c>
      <c r="AA21" s="6" t="str">
        <f t="shared" si="3"/>
        <v/>
      </c>
      <c r="AB21" s="6" t="str">
        <f t="shared" si="3"/>
        <v/>
      </c>
      <c r="AC21" s="6" t="str">
        <f t="shared" si="3"/>
        <v/>
      </c>
      <c r="AD21" s="6" t="str">
        <f t="shared" si="3"/>
        <v/>
      </c>
      <c r="AE21" s="6" t="str">
        <f t="shared" si="3"/>
        <v/>
      </c>
      <c r="AF21" s="6" t="str">
        <f t="shared" si="3"/>
        <v/>
      </c>
    </row>
    <row r="22" spans="2:32" x14ac:dyDescent="0.2">
      <c r="F22" t="str">
        <f t="shared" ref="F22:F63" si="4">IF(C22&lt;&gt;"","Planned","")</f>
        <v/>
      </c>
      <c r="H22" s="1" t="str">
        <f t="shared" ref="H22:H66" si="5">IF(OR(H$21="",$G22=""),"",G22)</f>
        <v/>
      </c>
      <c r="AE22" s="1" t="str">
        <f t="shared" ref="AE22:AF37" si="6">IF(OR(AE$21="",$G22=""),"",AD22)</f>
        <v/>
      </c>
      <c r="AF22" s="1" t="str">
        <f t="shared" si="6"/>
        <v/>
      </c>
    </row>
    <row r="23" spans="2:32" x14ac:dyDescent="0.2">
      <c r="F23" t="str">
        <f t="shared" si="4"/>
        <v/>
      </c>
      <c r="H23" s="1" t="str">
        <f t="shared" si="5"/>
        <v/>
      </c>
      <c r="AE23" s="1" t="str">
        <f t="shared" si="6"/>
        <v/>
      </c>
      <c r="AF23" s="1" t="str">
        <f t="shared" si="6"/>
        <v/>
      </c>
    </row>
    <row r="24" spans="2:32" x14ac:dyDescent="0.2">
      <c r="F24" t="str">
        <f t="shared" si="4"/>
        <v/>
      </c>
      <c r="H24" s="1" t="str">
        <f t="shared" si="5"/>
        <v/>
      </c>
      <c r="AE24" s="1" t="str">
        <f t="shared" si="6"/>
        <v/>
      </c>
      <c r="AF24" s="1" t="str">
        <f t="shared" si="6"/>
        <v/>
      </c>
    </row>
    <row r="25" spans="2:32" x14ac:dyDescent="0.2">
      <c r="F25" t="str">
        <f t="shared" si="4"/>
        <v/>
      </c>
      <c r="H25" s="1" t="str">
        <f t="shared" si="5"/>
        <v/>
      </c>
      <c r="AE25" s="1" t="str">
        <f t="shared" si="6"/>
        <v/>
      </c>
      <c r="AF25" s="1" t="str">
        <f t="shared" si="6"/>
        <v/>
      </c>
    </row>
    <row r="26" spans="2:32" x14ac:dyDescent="0.2">
      <c r="F26" t="str">
        <f t="shared" si="4"/>
        <v/>
      </c>
      <c r="H26" s="1" t="str">
        <f t="shared" si="5"/>
        <v/>
      </c>
      <c r="AE26" s="1" t="str">
        <f t="shared" si="6"/>
        <v/>
      </c>
      <c r="AF26" s="1" t="str">
        <f t="shared" si="6"/>
        <v/>
      </c>
    </row>
    <row r="27" spans="2:32" x14ac:dyDescent="0.2">
      <c r="F27" t="str">
        <f t="shared" si="4"/>
        <v/>
      </c>
      <c r="H27" s="1" t="str">
        <f t="shared" si="5"/>
        <v/>
      </c>
      <c r="AE27" s="1" t="str">
        <f t="shared" si="6"/>
        <v/>
      </c>
      <c r="AF27" s="1" t="str">
        <f t="shared" si="6"/>
        <v/>
      </c>
    </row>
    <row r="28" spans="2:32" x14ac:dyDescent="0.2">
      <c r="F28" t="str">
        <f t="shared" si="4"/>
        <v/>
      </c>
      <c r="H28" s="1" t="str">
        <f t="shared" si="5"/>
        <v/>
      </c>
      <c r="AE28" s="1" t="str">
        <f t="shared" si="6"/>
        <v/>
      </c>
      <c r="AF28" s="1" t="str">
        <f t="shared" si="6"/>
        <v/>
      </c>
    </row>
    <row r="29" spans="2:32" x14ac:dyDescent="0.2">
      <c r="F29" t="str">
        <f t="shared" si="4"/>
        <v/>
      </c>
      <c r="H29" s="1" t="str">
        <f t="shared" si="5"/>
        <v/>
      </c>
      <c r="AE29" s="1" t="str">
        <f t="shared" si="6"/>
        <v/>
      </c>
      <c r="AF29" s="1" t="str">
        <f t="shared" si="6"/>
        <v/>
      </c>
    </row>
    <row r="30" spans="2:32" x14ac:dyDescent="0.2">
      <c r="F30" t="str">
        <f t="shared" si="4"/>
        <v/>
      </c>
      <c r="H30" s="1" t="str">
        <f t="shared" si="5"/>
        <v/>
      </c>
      <c r="AE30" s="1" t="str">
        <f t="shared" si="6"/>
        <v/>
      </c>
      <c r="AF30" s="1" t="str">
        <f t="shared" si="6"/>
        <v/>
      </c>
    </row>
    <row r="31" spans="2:32" x14ac:dyDescent="0.2">
      <c r="F31" t="str">
        <f t="shared" si="4"/>
        <v/>
      </c>
      <c r="H31" s="1" t="str">
        <f t="shared" si="5"/>
        <v/>
      </c>
      <c r="AE31" s="1" t="str">
        <f t="shared" si="6"/>
        <v/>
      </c>
      <c r="AF31" s="1" t="str">
        <f t="shared" si="6"/>
        <v/>
      </c>
    </row>
    <row r="32" spans="2:32" x14ac:dyDescent="0.2">
      <c r="F32" t="str">
        <f t="shared" si="4"/>
        <v/>
      </c>
      <c r="H32" s="1" t="str">
        <f t="shared" si="5"/>
        <v/>
      </c>
      <c r="AE32" s="1" t="str">
        <f t="shared" si="6"/>
        <v/>
      </c>
      <c r="AF32" s="1" t="str">
        <f t="shared" si="6"/>
        <v/>
      </c>
    </row>
    <row r="33" spans="6:32" x14ac:dyDescent="0.2">
      <c r="F33" t="str">
        <f t="shared" si="4"/>
        <v/>
      </c>
      <c r="H33" s="1" t="str">
        <f t="shared" si="5"/>
        <v/>
      </c>
      <c r="AE33" s="1" t="str">
        <f t="shared" si="6"/>
        <v/>
      </c>
      <c r="AF33" s="1" t="str">
        <f t="shared" si="6"/>
        <v/>
      </c>
    </row>
    <row r="34" spans="6:32" x14ac:dyDescent="0.2">
      <c r="F34" t="str">
        <f t="shared" si="4"/>
        <v/>
      </c>
      <c r="H34" s="1" t="str">
        <f t="shared" si="5"/>
        <v/>
      </c>
      <c r="AE34" s="1" t="str">
        <f t="shared" si="6"/>
        <v/>
      </c>
      <c r="AF34" s="1" t="str">
        <f t="shared" si="6"/>
        <v/>
      </c>
    </row>
    <row r="35" spans="6:32" x14ac:dyDescent="0.2">
      <c r="F35" t="str">
        <f t="shared" si="4"/>
        <v/>
      </c>
      <c r="H35" s="1" t="str">
        <f t="shared" si="5"/>
        <v/>
      </c>
      <c r="AE35" s="1" t="str">
        <f t="shared" si="6"/>
        <v/>
      </c>
      <c r="AF35" s="1" t="str">
        <f t="shared" si="6"/>
        <v/>
      </c>
    </row>
    <row r="36" spans="6:32" x14ac:dyDescent="0.2">
      <c r="F36" t="str">
        <f t="shared" si="4"/>
        <v/>
      </c>
      <c r="H36" s="1" t="str">
        <f t="shared" si="5"/>
        <v/>
      </c>
      <c r="AE36" s="1" t="str">
        <f t="shared" si="6"/>
        <v/>
      </c>
      <c r="AF36" s="1" t="str">
        <f t="shared" si="6"/>
        <v/>
      </c>
    </row>
    <row r="37" spans="6:32" x14ac:dyDescent="0.2">
      <c r="F37" t="str">
        <f t="shared" si="4"/>
        <v/>
      </c>
      <c r="H37" s="1" t="str">
        <f t="shared" si="5"/>
        <v/>
      </c>
      <c r="AE37" s="1" t="str">
        <f t="shared" si="6"/>
        <v/>
      </c>
      <c r="AF37" s="1" t="str">
        <f t="shared" si="6"/>
        <v/>
      </c>
    </row>
    <row r="38" spans="6:32" x14ac:dyDescent="0.2">
      <c r="F38" t="str">
        <f t="shared" si="4"/>
        <v/>
      </c>
      <c r="H38" s="1" t="str">
        <f t="shared" si="5"/>
        <v/>
      </c>
      <c r="AE38" s="1" t="str">
        <f t="shared" ref="AE38:AF53" si="7">IF(OR(AE$21="",$G38=""),"",AD38)</f>
        <v/>
      </c>
      <c r="AF38" s="1" t="str">
        <f t="shared" si="7"/>
        <v/>
      </c>
    </row>
    <row r="39" spans="6:32" x14ac:dyDescent="0.2">
      <c r="F39" t="str">
        <f t="shared" si="4"/>
        <v/>
      </c>
      <c r="H39" s="1" t="str">
        <f t="shared" si="5"/>
        <v/>
      </c>
      <c r="AE39" s="1" t="str">
        <f t="shared" si="7"/>
        <v/>
      </c>
      <c r="AF39" s="1" t="str">
        <f t="shared" si="7"/>
        <v/>
      </c>
    </row>
    <row r="40" spans="6:32" x14ac:dyDescent="0.2">
      <c r="F40" t="str">
        <f t="shared" si="4"/>
        <v/>
      </c>
      <c r="H40" s="1" t="str">
        <f t="shared" si="5"/>
        <v/>
      </c>
      <c r="AE40" s="1" t="str">
        <f t="shared" si="7"/>
        <v/>
      </c>
      <c r="AF40" s="1" t="str">
        <f t="shared" si="7"/>
        <v/>
      </c>
    </row>
    <row r="41" spans="6:32" x14ac:dyDescent="0.2">
      <c r="F41" t="str">
        <f t="shared" si="4"/>
        <v/>
      </c>
      <c r="H41" s="1" t="str">
        <f t="shared" si="5"/>
        <v/>
      </c>
      <c r="AE41" s="1" t="str">
        <f t="shared" si="7"/>
        <v/>
      </c>
      <c r="AF41" s="1" t="str">
        <f t="shared" si="7"/>
        <v/>
      </c>
    </row>
    <row r="42" spans="6:32" x14ac:dyDescent="0.2">
      <c r="F42" t="str">
        <f t="shared" si="4"/>
        <v/>
      </c>
      <c r="H42" s="1" t="str">
        <f t="shared" si="5"/>
        <v/>
      </c>
      <c r="AE42" s="1" t="str">
        <f t="shared" si="7"/>
        <v/>
      </c>
      <c r="AF42" s="1" t="str">
        <f t="shared" si="7"/>
        <v/>
      </c>
    </row>
    <row r="43" spans="6:32" x14ac:dyDescent="0.2">
      <c r="F43" t="str">
        <f t="shared" si="4"/>
        <v/>
      </c>
      <c r="H43" s="1" t="str">
        <f t="shared" si="5"/>
        <v/>
      </c>
      <c r="AE43" s="1" t="str">
        <f t="shared" si="7"/>
        <v/>
      </c>
      <c r="AF43" s="1" t="str">
        <f t="shared" si="7"/>
        <v/>
      </c>
    </row>
    <row r="44" spans="6:32" x14ac:dyDescent="0.2">
      <c r="F44" t="str">
        <f t="shared" si="4"/>
        <v/>
      </c>
      <c r="H44" s="1" t="str">
        <f t="shared" si="5"/>
        <v/>
      </c>
      <c r="AE44" s="1" t="str">
        <f t="shared" si="7"/>
        <v/>
      </c>
      <c r="AF44" s="1" t="str">
        <f t="shared" si="7"/>
        <v/>
      </c>
    </row>
    <row r="45" spans="6:32" x14ac:dyDescent="0.2">
      <c r="F45" t="str">
        <f t="shared" si="4"/>
        <v/>
      </c>
      <c r="H45" s="1" t="str">
        <f t="shared" si="5"/>
        <v/>
      </c>
      <c r="AE45" s="1" t="str">
        <f t="shared" si="7"/>
        <v/>
      </c>
      <c r="AF45" s="1" t="str">
        <f t="shared" si="7"/>
        <v/>
      </c>
    </row>
    <row r="46" spans="6:32" x14ac:dyDescent="0.2">
      <c r="F46" t="str">
        <f t="shared" si="4"/>
        <v/>
      </c>
      <c r="H46" s="1" t="str">
        <f t="shared" si="5"/>
        <v/>
      </c>
      <c r="AE46" s="1" t="str">
        <f t="shared" si="7"/>
        <v/>
      </c>
      <c r="AF46" s="1" t="str">
        <f t="shared" si="7"/>
        <v/>
      </c>
    </row>
    <row r="47" spans="6:32" x14ac:dyDescent="0.2">
      <c r="F47" t="str">
        <f t="shared" si="4"/>
        <v/>
      </c>
      <c r="H47" s="1" t="str">
        <f t="shared" si="5"/>
        <v/>
      </c>
      <c r="AE47" s="1" t="str">
        <f t="shared" si="7"/>
        <v/>
      </c>
      <c r="AF47" s="1" t="str">
        <f t="shared" si="7"/>
        <v/>
      </c>
    </row>
    <row r="48" spans="6:32" x14ac:dyDescent="0.2">
      <c r="F48" t="str">
        <f t="shared" si="4"/>
        <v/>
      </c>
      <c r="H48" s="1" t="str">
        <f t="shared" si="5"/>
        <v/>
      </c>
      <c r="AE48" s="1" t="str">
        <f t="shared" si="7"/>
        <v/>
      </c>
      <c r="AF48" s="1" t="str">
        <f t="shared" si="7"/>
        <v/>
      </c>
    </row>
    <row r="49" spans="6:32" x14ac:dyDescent="0.2">
      <c r="F49" t="str">
        <f t="shared" si="4"/>
        <v/>
      </c>
      <c r="H49" s="1" t="str">
        <f t="shared" si="5"/>
        <v/>
      </c>
      <c r="AE49" s="1" t="str">
        <f t="shared" si="7"/>
        <v/>
      </c>
      <c r="AF49" s="1" t="str">
        <f t="shared" si="7"/>
        <v/>
      </c>
    </row>
    <row r="50" spans="6:32" x14ac:dyDescent="0.2">
      <c r="F50" t="str">
        <f t="shared" si="4"/>
        <v/>
      </c>
      <c r="H50" s="1" t="str">
        <f t="shared" si="5"/>
        <v/>
      </c>
      <c r="AE50" s="1" t="str">
        <f t="shared" si="7"/>
        <v/>
      </c>
      <c r="AF50" s="1" t="str">
        <f t="shared" si="7"/>
        <v/>
      </c>
    </row>
    <row r="51" spans="6:32" x14ac:dyDescent="0.2">
      <c r="F51" t="str">
        <f t="shared" si="4"/>
        <v/>
      </c>
      <c r="H51" s="1" t="str">
        <f t="shared" si="5"/>
        <v/>
      </c>
      <c r="AE51" s="1" t="str">
        <f t="shared" si="7"/>
        <v/>
      </c>
      <c r="AF51" s="1" t="str">
        <f t="shared" si="7"/>
        <v/>
      </c>
    </row>
    <row r="52" spans="6:32" x14ac:dyDescent="0.2">
      <c r="F52" t="str">
        <f t="shared" si="4"/>
        <v/>
      </c>
      <c r="H52" s="1" t="str">
        <f t="shared" si="5"/>
        <v/>
      </c>
      <c r="AE52" s="1" t="str">
        <f t="shared" si="7"/>
        <v/>
      </c>
      <c r="AF52" s="1" t="str">
        <f t="shared" si="7"/>
        <v/>
      </c>
    </row>
    <row r="53" spans="6:32" x14ac:dyDescent="0.2">
      <c r="F53" t="str">
        <f t="shared" si="4"/>
        <v/>
      </c>
      <c r="H53" s="1" t="str">
        <f t="shared" si="5"/>
        <v/>
      </c>
      <c r="AE53" s="1" t="str">
        <f t="shared" si="7"/>
        <v/>
      </c>
      <c r="AF53" s="1" t="str">
        <f t="shared" si="7"/>
        <v/>
      </c>
    </row>
    <row r="54" spans="6:32" x14ac:dyDescent="0.2">
      <c r="F54" t="str">
        <f t="shared" si="4"/>
        <v/>
      </c>
      <c r="H54" s="1" t="str">
        <f t="shared" si="5"/>
        <v/>
      </c>
      <c r="AE54" s="1" t="str">
        <f t="shared" ref="AE54:AF65" si="8">IF(OR(AE$21="",$G54=""),"",AD54)</f>
        <v/>
      </c>
      <c r="AF54" s="1" t="str">
        <f t="shared" si="8"/>
        <v/>
      </c>
    </row>
    <row r="55" spans="6:32" x14ac:dyDescent="0.2">
      <c r="F55" t="str">
        <f t="shared" si="4"/>
        <v/>
      </c>
      <c r="H55" s="1" t="str">
        <f t="shared" si="5"/>
        <v/>
      </c>
      <c r="AE55" s="1" t="str">
        <f t="shared" si="8"/>
        <v/>
      </c>
      <c r="AF55" s="1" t="str">
        <f t="shared" si="8"/>
        <v/>
      </c>
    </row>
    <row r="56" spans="6:32" x14ac:dyDescent="0.2">
      <c r="F56" t="str">
        <f t="shared" si="4"/>
        <v/>
      </c>
      <c r="H56" s="1" t="str">
        <f t="shared" si="5"/>
        <v/>
      </c>
      <c r="AE56" s="1" t="str">
        <f t="shared" si="8"/>
        <v/>
      </c>
      <c r="AF56" s="1" t="str">
        <f t="shared" si="8"/>
        <v/>
      </c>
    </row>
    <row r="57" spans="6:32" x14ac:dyDescent="0.2">
      <c r="F57" t="str">
        <f t="shared" si="4"/>
        <v/>
      </c>
      <c r="H57" s="1" t="str">
        <f t="shared" si="5"/>
        <v/>
      </c>
      <c r="AE57" s="1" t="str">
        <f t="shared" si="8"/>
        <v/>
      </c>
      <c r="AF57" s="1" t="str">
        <f t="shared" si="8"/>
        <v/>
      </c>
    </row>
    <row r="58" spans="6:32" x14ac:dyDescent="0.2">
      <c r="F58" t="str">
        <f t="shared" si="4"/>
        <v/>
      </c>
      <c r="H58" s="1" t="str">
        <f t="shared" si="5"/>
        <v/>
      </c>
      <c r="AE58" s="1" t="str">
        <f t="shared" si="8"/>
        <v/>
      </c>
      <c r="AF58" s="1" t="str">
        <f t="shared" si="8"/>
        <v/>
      </c>
    </row>
    <row r="59" spans="6:32" x14ac:dyDescent="0.2">
      <c r="F59" t="str">
        <f t="shared" si="4"/>
        <v/>
      </c>
      <c r="H59" s="1" t="str">
        <f t="shared" si="5"/>
        <v/>
      </c>
      <c r="AE59" s="1" t="str">
        <f t="shared" si="8"/>
        <v/>
      </c>
      <c r="AF59" s="1" t="str">
        <f t="shared" si="8"/>
        <v/>
      </c>
    </row>
    <row r="60" spans="6:32" x14ac:dyDescent="0.2">
      <c r="F60" t="str">
        <f t="shared" si="4"/>
        <v/>
      </c>
      <c r="H60" s="1" t="str">
        <f t="shared" si="5"/>
        <v/>
      </c>
      <c r="AE60" s="1" t="str">
        <f t="shared" si="8"/>
        <v/>
      </c>
      <c r="AF60" s="1" t="str">
        <f t="shared" si="8"/>
        <v/>
      </c>
    </row>
    <row r="61" spans="6:32" x14ac:dyDescent="0.2">
      <c r="F61" t="str">
        <f t="shared" si="4"/>
        <v/>
      </c>
      <c r="H61" s="1" t="str">
        <f t="shared" si="5"/>
        <v/>
      </c>
      <c r="AE61" s="1" t="str">
        <f t="shared" si="8"/>
        <v/>
      </c>
      <c r="AF61" s="1" t="str">
        <f t="shared" si="8"/>
        <v/>
      </c>
    </row>
    <row r="62" spans="6:32" x14ac:dyDescent="0.2">
      <c r="F62" t="str">
        <f t="shared" si="4"/>
        <v/>
      </c>
      <c r="H62" s="1" t="str">
        <f t="shared" si="5"/>
        <v/>
      </c>
      <c r="I62" s="1" t="str">
        <f t="shared" ref="I62:AD62" si="9">IF(OR(I$21="",$G62=""),"",H62)</f>
        <v/>
      </c>
      <c r="J62" s="1" t="str">
        <f t="shared" si="9"/>
        <v/>
      </c>
      <c r="K62" s="1" t="str">
        <f t="shared" si="9"/>
        <v/>
      </c>
      <c r="L62" s="1" t="str">
        <f t="shared" si="9"/>
        <v/>
      </c>
      <c r="M62" s="1" t="str">
        <f t="shared" si="9"/>
        <v/>
      </c>
      <c r="N62" s="1" t="str">
        <f t="shared" si="9"/>
        <v/>
      </c>
      <c r="O62" s="1" t="str">
        <f t="shared" si="9"/>
        <v/>
      </c>
      <c r="P62" s="1" t="str">
        <f t="shared" si="9"/>
        <v/>
      </c>
      <c r="Q62" s="1" t="str">
        <f t="shared" si="9"/>
        <v/>
      </c>
      <c r="R62" s="1" t="str">
        <f t="shared" si="9"/>
        <v/>
      </c>
      <c r="S62" s="1" t="str">
        <f t="shared" si="9"/>
        <v/>
      </c>
      <c r="T62" s="1" t="str">
        <f t="shared" si="9"/>
        <v/>
      </c>
      <c r="U62" s="1" t="str">
        <f t="shared" si="9"/>
        <v/>
      </c>
      <c r="V62" s="1" t="str">
        <f t="shared" si="9"/>
        <v/>
      </c>
      <c r="W62" s="1" t="str">
        <f t="shared" si="9"/>
        <v/>
      </c>
      <c r="X62" s="1" t="str">
        <f t="shared" si="9"/>
        <v/>
      </c>
      <c r="Y62" s="1" t="str">
        <f t="shared" si="9"/>
        <v/>
      </c>
      <c r="Z62" s="1" t="str">
        <f t="shared" si="9"/>
        <v/>
      </c>
      <c r="AA62" s="1" t="str">
        <f t="shared" si="9"/>
        <v/>
      </c>
      <c r="AB62" s="1" t="str">
        <f t="shared" si="9"/>
        <v/>
      </c>
      <c r="AC62" s="1" t="str">
        <f t="shared" si="9"/>
        <v/>
      </c>
      <c r="AD62" s="1" t="str">
        <f t="shared" si="9"/>
        <v/>
      </c>
      <c r="AE62" s="1" t="str">
        <f t="shared" si="8"/>
        <v/>
      </c>
      <c r="AF62" s="1" t="str">
        <f t="shared" si="8"/>
        <v/>
      </c>
    </row>
    <row r="63" spans="6:32" x14ac:dyDescent="0.2">
      <c r="F63" t="str">
        <f t="shared" si="4"/>
        <v/>
      </c>
      <c r="H63" s="1" t="str">
        <f t="shared" si="5"/>
        <v/>
      </c>
      <c r="I63" s="1" t="str">
        <f t="shared" ref="I63:AD63" si="10">IF(OR(I$21="",$G63=""),"",H63)</f>
        <v/>
      </c>
      <c r="J63" s="1" t="str">
        <f t="shared" si="10"/>
        <v/>
      </c>
      <c r="K63" s="1" t="str">
        <f t="shared" si="10"/>
        <v/>
      </c>
      <c r="L63" s="1" t="str">
        <f t="shared" si="10"/>
        <v/>
      </c>
      <c r="M63" s="1" t="str">
        <f t="shared" si="10"/>
        <v/>
      </c>
      <c r="N63" s="1" t="str">
        <f t="shared" si="10"/>
        <v/>
      </c>
      <c r="O63" s="1" t="str">
        <f t="shared" si="10"/>
        <v/>
      </c>
      <c r="P63" s="1" t="str">
        <f t="shared" si="10"/>
        <v/>
      </c>
      <c r="Q63" s="1" t="str">
        <f t="shared" si="10"/>
        <v/>
      </c>
      <c r="R63" s="1" t="str">
        <f t="shared" si="10"/>
        <v/>
      </c>
      <c r="S63" s="1" t="str">
        <f t="shared" si="10"/>
        <v/>
      </c>
      <c r="T63" s="1" t="str">
        <f t="shared" si="10"/>
        <v/>
      </c>
      <c r="U63" s="1" t="str">
        <f t="shared" si="10"/>
        <v/>
      </c>
      <c r="V63" s="1" t="str">
        <f t="shared" si="10"/>
        <v/>
      </c>
      <c r="W63" s="1" t="str">
        <f t="shared" si="10"/>
        <v/>
      </c>
      <c r="X63" s="1" t="str">
        <f t="shared" si="10"/>
        <v/>
      </c>
      <c r="Y63" s="1" t="str">
        <f t="shared" si="10"/>
        <v/>
      </c>
      <c r="Z63" s="1" t="str">
        <f t="shared" si="10"/>
        <v/>
      </c>
      <c r="AA63" s="1" t="str">
        <f t="shared" si="10"/>
        <v/>
      </c>
      <c r="AB63" s="1" t="str">
        <f t="shared" si="10"/>
        <v/>
      </c>
      <c r="AC63" s="1" t="str">
        <f t="shared" si="10"/>
        <v/>
      </c>
      <c r="AD63" s="1" t="str">
        <f t="shared" si="10"/>
        <v/>
      </c>
      <c r="AE63" s="1" t="str">
        <f t="shared" si="8"/>
        <v/>
      </c>
      <c r="AF63" s="1" t="str">
        <f t="shared" si="8"/>
        <v/>
      </c>
    </row>
    <row r="64" spans="6:32" x14ac:dyDescent="0.2">
      <c r="F64" t="s">
        <v>7</v>
      </c>
      <c r="H64" s="1" t="str">
        <f t="shared" si="5"/>
        <v/>
      </c>
      <c r="AE64" s="1" t="str">
        <f t="shared" si="8"/>
        <v/>
      </c>
      <c r="AF64" s="1" t="str">
        <f t="shared" si="8"/>
        <v/>
      </c>
    </row>
    <row r="65" spans="2:32" x14ac:dyDescent="0.2">
      <c r="F65" t="s">
        <v>8</v>
      </c>
      <c r="H65" s="1" t="str">
        <f t="shared" si="5"/>
        <v/>
      </c>
      <c r="AE65" s="1" t="str">
        <f t="shared" si="8"/>
        <v/>
      </c>
      <c r="AF65" s="1" t="str">
        <f t="shared" si="8"/>
        <v/>
      </c>
    </row>
    <row r="66" spans="2:32" x14ac:dyDescent="0.2">
      <c r="F66" t="s">
        <v>9</v>
      </c>
      <c r="H66" s="1" t="str">
        <f t="shared" si="5"/>
        <v/>
      </c>
    </row>
    <row r="71" spans="2:32" s="1" customFormat="1" x14ac:dyDescent="0.2">
      <c r="B71"/>
      <c r="C71"/>
      <c r="E71"/>
      <c r="F71" t="str">
        <f>IF(C71&lt;&gt;"","Planned","")</f>
        <v/>
      </c>
    </row>
  </sheetData>
  <mergeCells count="3">
    <mergeCell ref="D3:H3"/>
    <mergeCell ref="D4:H4"/>
    <mergeCell ref="D5:H5"/>
  </mergeCells>
  <conditionalFormatting sqref="C26:AF65 L22:AF25">
    <cfRule type="expression" dxfId="3" priority="1" stopIfTrue="1">
      <formula>$F22="Done"</formula>
    </cfRule>
    <cfRule type="expression" dxfId="2" priority="2" stopIfTrue="1">
      <formula>$F22="Ongoing"</formula>
    </cfRule>
  </conditionalFormatting>
  <conditionalFormatting sqref="B22:AF65">
    <cfRule type="expression" dxfId="1" priority="3" stopIfTrue="1">
      <formula>$F22="Terminado"</formula>
    </cfRule>
    <cfRule type="expression" dxfId="0" priority="4" stopIfTrue="1">
      <formula>$F22="En Progreso"</formula>
    </cfRule>
  </conditionalFormatting>
  <dataValidations disablePrompts="1" count="1">
    <dataValidation type="list" allowBlank="1" showInputMessage="1" sqref="F22:F71 F10:F15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124E24CAF14D46B2DD609ACFD84C07" ma:contentTypeVersion="0" ma:contentTypeDescription="Crear nuevo documento." ma:contentTypeScope="" ma:versionID="de664effb0a23aec775b6884083f1507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d8ef9ce5e2f992f4a0d6f8aeafc38bc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379A4C6-2860-45CA-BC84-501A5C3DA81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65E0F1F-D51E-4C07-A1AE-AA43A65D34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002568-7AEC-4F01-8608-7227AF087BB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6B976E-19D9-4A12-8B5E-B576F4080915}">
  <ds:schemaRefs>
    <ds:schemaRef ds:uri="http://purl.org/dc/elements/1.1/"/>
    <ds:schemaRef ds:uri="01eb4bd6-a8ff-4439-b7eb-fe0a650fbd8a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D36031E8-9CA1-417E-B558-74DEFEC6B8F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24</vt:i4>
      </vt:variant>
    </vt:vector>
  </HeadingPairs>
  <TitlesOfParts>
    <vt:vector size="27" baseType="lpstr">
      <vt:lpstr>Sprint 1</vt:lpstr>
      <vt:lpstr>Sprint 2</vt:lpstr>
      <vt:lpstr>Plantilla Sprint</vt:lpstr>
      <vt:lpstr>'Plantilla Sprint'!DoneDays</vt:lpstr>
      <vt:lpstr>'Sprint 1'!DoneDays</vt:lpstr>
      <vt:lpstr>'Sprint 2'!DoneDays</vt:lpstr>
      <vt:lpstr>'Plantilla Sprint'!ImplementationDays</vt:lpstr>
      <vt:lpstr>'Sprint 1'!ImplementationDays</vt:lpstr>
      <vt:lpstr>'Sprint 2'!ImplementationDays</vt:lpstr>
      <vt:lpstr>'Plantilla Sprint'!SprintTasks</vt:lpstr>
      <vt:lpstr>'Sprint 1'!SprintTasks</vt:lpstr>
      <vt:lpstr>'Sprint 2'!SprintTasks</vt:lpstr>
      <vt:lpstr>'Plantilla Sprint'!TaskRows</vt:lpstr>
      <vt:lpstr>'Sprint 1'!TaskRows</vt:lpstr>
      <vt:lpstr>'Sprint 2'!TaskRows</vt:lpstr>
      <vt:lpstr>'Plantilla Sprint'!TaskStatus</vt:lpstr>
      <vt:lpstr>'Sprint 1'!TaskStatus</vt:lpstr>
      <vt:lpstr>'Sprint 2'!TaskStatus</vt:lpstr>
      <vt:lpstr>'Plantilla Sprint'!TaskStoryID</vt:lpstr>
      <vt:lpstr>'Sprint 1'!TaskStoryID</vt:lpstr>
      <vt:lpstr>'Sprint 2'!TaskStoryID</vt:lpstr>
      <vt:lpstr>'Plantilla Sprint'!TotalEffort</vt:lpstr>
      <vt:lpstr>'Sprint 1'!TotalEffort</vt:lpstr>
      <vt:lpstr>'Sprint 2'!TotalEffort</vt:lpstr>
      <vt:lpstr>'Plantilla Sprint'!TrendDays</vt:lpstr>
      <vt:lpstr>'Sprint 1'!TrendDays</vt:lpstr>
      <vt:lpstr>'Sprint 2'!TrendDays</vt:lpstr>
    </vt:vector>
  </TitlesOfParts>
  <Company>SysOpen Digia Plc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creator>&lt; Your name &gt;</dc:creator>
  <dc:description>Template versio 1.0 Approval</dc:description>
  <cp:lastModifiedBy>Hector Bravo Consultor GE</cp:lastModifiedBy>
  <cp:revision>1</cp:revision>
  <cp:lastPrinted>2006-09-01T14:59:00Z</cp:lastPrinted>
  <dcterms:created xsi:type="dcterms:W3CDTF">1998-06-05T11:20:44Z</dcterms:created>
  <dcterms:modified xsi:type="dcterms:W3CDTF">2018-09-19T19:12:45Z</dcterms:modified>
  <cp:category>SysOpen Digia Standard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FWJASSSE55TN-275-110</vt:lpwstr>
  </property>
  <property fmtid="{D5CDD505-2E9C-101B-9397-08002B2CF9AE}" pid="4" name="_dlc_DocIdItemGuid">
    <vt:lpwstr>26871ea7-f764-4995-b5ea-d05096b306c2</vt:lpwstr>
  </property>
  <property fmtid="{D5CDD505-2E9C-101B-9397-08002B2CF9AE}" pid="5" name="_dlc_DocIdUrl">
    <vt:lpwstr>https://portal.smrey.net/areas/it/_layouts/15/DocIdRedir.aspx?ID=FWJASSSE55TN-275-110, FWJASSSE55TN-275-110</vt:lpwstr>
  </property>
</Properties>
</file>